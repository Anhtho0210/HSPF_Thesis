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ther/Documents/HS Pforzheim/Agent/"/>
    </mc:Choice>
  </mc:AlternateContent>
  <xr:revisionPtr revIDLastSave="0" documentId="13_ncr:1_{9374F70B-2548-C249-BEBD-4595A21DC717}" xr6:coauthVersionLast="47" xr6:coauthVersionMax="47" xr10:uidLastSave="{00000000-0000-0000-0000-000000000000}"/>
  <bookViews>
    <workbookView xWindow="0" yWindow="500" windowWidth="28800" windowHeight="15820" activeTab="2" xr2:uid="{00000000-000D-0000-FFFF-FFFF00000000}"/>
  </bookViews>
  <sheets>
    <sheet name="Instructions" sheetId="1" r:id="rId1"/>
    <sheet name="Sheet1" sheetId="5" r:id="rId2"/>
    <sheet name="Hard Constraints" sheetId="2" r:id="rId3"/>
    <sheet name="Degree Compatibility" sheetId="3" r:id="rId4"/>
    <sheet name="Overall Ranking"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9" i="2" l="1"/>
  <c r="F53" i="3"/>
</calcChain>
</file>

<file path=xl/sharedStrings.xml><?xml version="1.0" encoding="utf-8"?>
<sst xmlns="http://schemas.openxmlformats.org/spreadsheetml/2006/main" count="2800" uniqueCount="272">
  <si>
    <t>Agent 3 Ground Truth Labeling Template</t>
  </si>
  <si>
    <t>Purpose:</t>
  </si>
  <si>
    <t>Manually label expected outcomes for Agent3 filtering and ranking</t>
  </si>
  <si>
    <t>Instructions:</t>
  </si>
  <si>
    <t>Sheet 1: Hard Constraints</t>
  </si>
  <si>
    <t xml:space="preserve">  1. Review student requirements (GPA, tuition budget, preferred cities, English proficiency, work exp, semester, ECTS)</t>
  </si>
  <si>
    <t xml:space="preserve">  2. Review program requirements (including both EU and Non-EU tuition fees)</t>
  </si>
  <si>
    <t xml:space="preserve">  3. For each constraint, mark 'YES' or 'NO' in the '...Pass?' columns</t>
  </si>
  <si>
    <t xml:space="preserve">  4. Note: Location check now uses preferred cities instead of state</t>
  </si>
  <si>
    <t xml:space="preserve">  5. Note: English language proficiency is now explicitly checked</t>
  </si>
  <si>
    <t xml:space="preserve">  6. Check 'ECTS Domain Pass?': Review if student transcript has required ECTS in specific domains</t>
  </si>
  <si>
    <t xml:space="preserve">     (e.g., 60 ECTS in Economics/Finance/Math for some programs)</t>
  </si>
  <si>
    <t xml:space="preserve">  7. Mark 'Overall Should Pass?' as 'YES' only if ALL constraints pass (including ECTS domains)</t>
  </si>
  <si>
    <t xml:space="preserve">  8. Add notes for edge cases or unclear situations</t>
  </si>
  <si>
    <t>Sheet 2: Degree Compatibility</t>
  </si>
  <si>
    <t xml:space="preserve">  1. Compare student's bachelor field with program's required degree domains</t>
  </si>
  <si>
    <t xml:space="preserve">  2. Mark 'Should Match?' as:</t>
  </si>
  <si>
    <t xml:space="preserve">     - HIGH: Direct match (e.g., CS student → CS program)</t>
  </si>
  <si>
    <t xml:space="preserve">     - MEDIUM: Related field (e.g., CS student → Data Science)</t>
  </si>
  <si>
    <t xml:space="preserve">     - LOW: Somewhat related (e.g., Business student → Economics program)</t>
  </si>
  <si>
    <t xml:space="preserve">     - NO: Unrelated (e.g., CS student → Agriculture)</t>
  </si>
  <si>
    <t xml:space="preserve">  3. Estimate 'Expected Score Range' (0.0-1.0):</t>
  </si>
  <si>
    <t xml:space="preserve">     - HIGH: 0.8-1.0</t>
  </si>
  <si>
    <t xml:space="preserve">     - MEDIUM: 0.5-0.7</t>
  </si>
  <si>
    <t xml:space="preserve">     - LOW: 0.3-0.5</t>
  </si>
  <si>
    <t xml:space="preserve">     - NO: 0.0-0.2</t>
  </si>
  <si>
    <t>Sheet 3: Overall Ranking</t>
  </si>
  <si>
    <t xml:space="preserve">  1. Consider student's interests and desired programs</t>
  </si>
  <si>
    <t xml:space="preserve">  2. Assign 'Relevance Score (1-5)':</t>
  </si>
  <si>
    <t xml:space="preserve">     - 5: Perfect match (interests + field + requirements)</t>
  </si>
  <si>
    <t xml:space="preserve">     - 4: High relevance (most criteria match)</t>
  </si>
  <si>
    <t xml:space="preserve">     - 3: Medium relevance (some criteria match)</t>
  </si>
  <si>
    <t xml:space="preserve">     - 2: Low relevance (minimal match)</t>
  </si>
  <si>
    <t xml:space="preserve">     - 1: No relevance (completely unrelated)</t>
  </si>
  <si>
    <t xml:space="preserve">  3. Specify 'Expected Top N' (e.g., '1-3', 'Top 5', 'Top 10', 'Not in Top 20')</t>
  </si>
  <si>
    <t>Tips:</t>
  </si>
  <si>
    <t xml:space="preserve">  - Focus on one profile at a time (20 programs per profile)</t>
  </si>
  <si>
    <t xml:space="preserve">  - Use filters to view one profile's rows</t>
  </si>
  <si>
    <t xml:space="preserve">  - Estimated time: 2-3 hours for all 100 combinations</t>
  </si>
  <si>
    <t xml:space="preserve">  - Save frequently!</t>
  </si>
  <si>
    <t>After labeling:</t>
  </si>
  <si>
    <t xml:space="preserve">  Run 'test_agent3_with_ground_truth.py' to compare Agent3's output with your labels</t>
  </si>
  <si>
    <t>Profile ID</t>
  </si>
  <si>
    <t>Profile Description</t>
  </si>
  <si>
    <t>Program ID</t>
  </si>
  <si>
    <t>Program Name</t>
  </si>
  <si>
    <t>University</t>
  </si>
  <si>
    <t>Student GPA (German)</t>
  </si>
  <si>
    <t>Program Min GPA</t>
  </si>
  <si>
    <t>GPA Pass?</t>
  </si>
  <si>
    <t>Student Max Tuition</t>
  </si>
  <si>
    <t>Program Tuition (EU)</t>
  </si>
  <si>
    <t>Program Tuition (Non-EU)</t>
  </si>
  <si>
    <t>Tuition Pass?</t>
  </si>
  <si>
    <t>Student Preferred Cities</t>
  </si>
  <si>
    <t>Program City</t>
  </si>
  <si>
    <t>Location Pass?</t>
  </si>
  <si>
    <t>Student English</t>
  </si>
  <si>
    <t>Program English Requirement</t>
  </si>
  <si>
    <t>English Pass?</t>
  </si>
  <si>
    <t>Student Work Exp (months)</t>
  </si>
  <si>
    <t>Program Min Work Exp</t>
  </si>
  <si>
    <t>Work Exp Pass?</t>
  </si>
  <si>
    <t>Student Preferred Semester</t>
  </si>
  <si>
    <t>Winter Available?</t>
  </si>
  <si>
    <t>Summer Available?</t>
  </si>
  <si>
    <t>Semester Pass?</t>
  </si>
  <si>
    <t>Student ECTS</t>
  </si>
  <si>
    <t>Program Min ECTS</t>
  </si>
  <si>
    <t>ECTS Pass?</t>
  </si>
  <si>
    <t>Program ECTS Domain Requirements</t>
  </si>
  <si>
    <t>ECTS Domain Pass?</t>
  </si>
  <si>
    <t>Overall Should Pass?</t>
  </si>
  <si>
    <t>Notes</t>
  </si>
  <si>
    <t>PROFILE-001-VN-CS</t>
  </si>
  <si>
    <t>Vietnamese Computer Science student interested in AI/ML</t>
  </si>
  <si>
    <t>3865</t>
  </si>
  <si>
    <t>International Master of Landscape Architecture (IMLA)</t>
  </si>
  <si>
    <t>Nürtingen-Geislingen University</t>
  </si>
  <si>
    <t>YES</t>
  </si>
  <si>
    <t>Munich, Stuttgart, Karlsruhe</t>
  </si>
  <si>
    <t>Nürtingen</t>
  </si>
  <si>
    <t>NO</t>
  </si>
  <si>
    <t>IELTS: 7.0</t>
  </si>
  <si>
    <t>B2</t>
  </si>
  <si>
    <t>Winter</t>
  </si>
  <si>
    <t>No</t>
  </si>
  <si>
    <t>Yes</t>
  </si>
  <si>
    <t>Location: Nürtingen not in preferred cities | Semester: Winter not available</t>
  </si>
  <si>
    <t>4249</t>
  </si>
  <si>
    <t>Computer and Information Science</t>
  </si>
  <si>
    <t>University of Konstanz</t>
  </si>
  <si>
    <t>Konstanz</t>
  </si>
  <si>
    <t>Location: Konstanz not in preferred cities</t>
  </si>
  <si>
    <t>4193</t>
  </si>
  <si>
    <t>Master of Science in Economics</t>
  </si>
  <si>
    <t>University of Mannheim</t>
  </si>
  <si>
    <t>Mannheim</t>
  </si>
  <si>
    <t>MANUAL</t>
  </si>
  <si>
    <t>Location: Mannheim not in preferred cities | ECTS Domain: Requires manual check - Economics, Finance, Mathematics, or Statistics: 60.0 ECTS | Introductory Economics Core: 0.0 ECTS</t>
  </si>
  <si>
    <t>9995</t>
  </si>
  <si>
    <t>Industrial Artificial Intelligence</t>
  </si>
  <si>
    <t>Albstadt-Sigmaringen University</t>
  </si>
  <si>
    <t>Albstadt</t>
  </si>
  <si>
    <t>Location: Albstadt not in preferred cities</t>
  </si>
  <si>
    <t>4372</t>
  </si>
  <si>
    <t>Economics and Finance (MSc)</t>
  </si>
  <si>
    <t>University of Tübingen</t>
  </si>
  <si>
    <t>Tübingen</t>
  </si>
  <si>
    <t>Location: Tübingen not in preferred cities</t>
  </si>
  <si>
    <t>8479</t>
  </si>
  <si>
    <t>Master of Science in Corporate Management &amp; Economics | CME</t>
  </si>
  <si>
    <t>Zeppelin University</t>
  </si>
  <si>
    <t>Friedrichshafen</t>
  </si>
  <si>
    <t>C1</t>
  </si>
  <si>
    <t>Location: Friedrichshafen not in preferred cities | English: IELTS: 7.0 &lt; C1 required | Semester: Winter not available</t>
  </si>
  <si>
    <t>6119</t>
  </si>
  <si>
    <t>Bioinformatics</t>
  </si>
  <si>
    <t>6938</t>
  </si>
  <si>
    <t>Master of Science in Chemistry</t>
  </si>
  <si>
    <t>Ulm University</t>
  </si>
  <si>
    <t>Ulm</t>
  </si>
  <si>
    <t>Location: Ulm not in preferred cities</t>
  </si>
  <si>
    <t>10532</t>
  </si>
  <si>
    <t>Master of Engineering in Electrical Engineering</t>
  </si>
  <si>
    <t>Aalen University</t>
  </si>
  <si>
    <t>Aalen</t>
  </si>
  <si>
    <t>Location: Aalen not in preferred cities</t>
  </si>
  <si>
    <t>10372</t>
  </si>
  <si>
    <t>Intelligent Mechatronic Systems</t>
  </si>
  <si>
    <t>Heilbronn University of Applied Sciences</t>
  </si>
  <si>
    <t>Heilbronn</t>
  </si>
  <si>
    <t>Location: Heilbronn not in preferred cities</t>
  </si>
  <si>
    <t>4692</t>
  </si>
  <si>
    <t>Master of Science in Chemical Engineering</t>
  </si>
  <si>
    <t>Location: Ulm not in preferred cities | ECTS Domain: Requires manual check - Process Engineering Competences: 0.0 ECTS | Independent Scientific Work: 6.0 ECTS</t>
  </si>
  <si>
    <t>8972</t>
  </si>
  <si>
    <t>Advisory and Innovation Services in Agri-Food Systems</t>
  </si>
  <si>
    <t>University of Hohenheim</t>
  </si>
  <si>
    <t>Stuttgart</t>
  </si>
  <si>
    <t>ECTS Domain: Requires manual check - Economics: 6.0 ECTS</t>
  </si>
  <si>
    <t>9165</t>
  </si>
  <si>
    <t>Life Science Innovation</t>
  </si>
  <si>
    <t>Sigmaringen</t>
  </si>
  <si>
    <t>Location: Sigmaringen not in preferred cities</t>
  </si>
  <si>
    <t>5240</t>
  </si>
  <si>
    <t>Master of Science in Biotechnology (MBT)</t>
  </si>
  <si>
    <t>Offenburg University of Applied Sciences</t>
  </si>
  <si>
    <t>Offenburg</t>
  </si>
  <si>
    <t>Location: Offenburg not in preferred cities</t>
  </si>
  <si>
    <t>4456</t>
  </si>
  <si>
    <t>Food Science and Technology</t>
  </si>
  <si>
    <t>ECTS Domain: Requires manual check - Subject-specific knowledge: 70.0 ECTS</t>
  </si>
  <si>
    <t>3981</t>
  </si>
  <si>
    <t>Applied Computer Science</t>
  </si>
  <si>
    <t>SRH University</t>
  </si>
  <si>
    <t>Heidelberg</t>
  </si>
  <si>
    <t>Tuition: 6950€ (Non-EU) &gt; 3000€ budget | Location: Heidelberg not in preferred cities | Semester: Winter not available</t>
  </si>
  <si>
    <t>4787</t>
  </si>
  <si>
    <t>Dance Movement Therapy (MA)</t>
  </si>
  <si>
    <t>Tuition: 5450€ (Non-EU) &gt; 3000€ budget | Location: Heidelberg not in preferred cities | Semester: Winter not available</t>
  </si>
  <si>
    <t>3763</t>
  </si>
  <si>
    <t>International Business and Intercultural Management (MSc)</t>
  </si>
  <si>
    <t>10374</t>
  </si>
  <si>
    <t>Applied Artificial Intelligence (MAAI)</t>
  </si>
  <si>
    <t>Location: Heilbronn not in preferred cities | ECTS Domain: Requires manual check - Mathematics, Computer Science, and Artificial Intelligence: 50.0 ECTS</t>
  </si>
  <si>
    <t>9180</t>
  </si>
  <si>
    <t>Digital Business Management (MSc)</t>
  </si>
  <si>
    <t>Pforzheim University</t>
  </si>
  <si>
    <t>Pforzheim</t>
  </si>
  <si>
    <t>Location: Pforzheim not in preferred cities | ECTS Domain: Requires manual check - Quantitative Methods: 10.0 ECTS | Business Information Systems: 5.0 ECTS | Business Administration and/or Economics: 30.0 ECTS</t>
  </si>
  <si>
    <t>PROFILE-002-IN-BUS</t>
  </si>
  <si>
    <t>Indian Business Administration student interested in MBA/Management</t>
  </si>
  <si>
    <t>None</t>
  </si>
  <si>
    <t>TOEFL iBT: 95</t>
  </si>
  <si>
    <t>Semester: Winter not available</t>
  </si>
  <si>
    <t>All constraints passed</t>
  </si>
  <si>
    <t>ECTS Domain: Requires manual check - Economics, Finance, Mathematics, or Statistics: 60.0 ECTS | Introductory Economics Core: 0.0 ECTS</t>
  </si>
  <si>
    <t>ECTS Domain: Requires manual check - Process Engineering Competences: 0.0 ECTS | Independent Scientific Work: 6.0 ECTS</t>
  </si>
  <si>
    <t>Tuition: 6950€ (Non-EU) &gt; 5000€ budget | Semester: Winter not available</t>
  </si>
  <si>
    <t>Tuition: 5450€ (Non-EU) &gt; 5000€ budget | Semester: Winter not available</t>
  </si>
  <si>
    <t>ECTS Domain: Requires manual check - Mathematics, Computer Science, and Artificial Intelligence: 50.0 ECTS</t>
  </si>
  <si>
    <t>ECTS Domain: Requires manual check - Quantitative Methods: 10.0 ECTS | Business Information Systems: 5.0 ECTS | Business Administration and/or Economics: 30.0 ECTS</t>
  </si>
  <si>
    <t>PROFILE-003-ES-ECON</t>
  </si>
  <si>
    <t>Spanish Economics student with lower GPA (EU citizen)</t>
  </si>
  <si>
    <t>Level: C1</t>
  </si>
  <si>
    <t>GPA: 3.1 &gt; 2.5 | ECTS Domain: Requires manual check - Economics, Finance, Mathematics, or Statistics: 60.0 ECTS | Introductory Economics Core: 0.0 ECTS</t>
  </si>
  <si>
    <t>GPA: 3.1 &gt; 2.5</t>
  </si>
  <si>
    <t>GPA: 3.1 &gt; 3 | ECTS Domain: Requires manual check - Process Engineering Competences: 0.0 ECTS | Independent Scientific Work: 6.0 ECTS</t>
  </si>
  <si>
    <t>GPA: 3.1 &gt; 2.5 | ECTS Domain: Requires manual check - Quantitative Methods: 10.0 ECTS | Business Information Systems: 5.0 ECTS | Business Administration and/or Economics: 30.0 ECTS</t>
  </si>
  <si>
    <t>PROFILE-004-DE-BINF</t>
  </si>
  <si>
    <t>German Business Informatics student interested in Digital Transformation (EU citizen)</t>
  </si>
  <si>
    <t>Stuttgart, Mannheim</t>
  </si>
  <si>
    <t>TOEIC: 850</t>
  </si>
  <si>
    <t>Tuition: 7300€ (EU) &gt; 2000€ budget | Location: Friedrichshafen not in preferred cities | Semester: Winter not available</t>
  </si>
  <si>
    <t>Tuition: 5040€ (EU) &gt; 2000€ budget | Location: Heidelberg not in preferred cities | Semester: Winter not available</t>
  </si>
  <si>
    <t>Tuition: 4500€ (EU) &gt; 2000€ budget | Location: Heidelberg not in preferred cities | Semester: Winter not available</t>
  </si>
  <si>
    <t>PROFILE-005-PK-MKT</t>
  </si>
  <si>
    <t>Pakistani Marketing student interested in Digital Marketing</t>
  </si>
  <si>
    <t>IELTS: 6.5</t>
  </si>
  <si>
    <t>English: IELTS: 6.5 &lt; C1 required</t>
  </si>
  <si>
    <t>Tuition: 6950€ (Non-EU) &gt; 4000€ budget</t>
  </si>
  <si>
    <t>Tuition: 5450€ (Non-EU) &gt; 4000€ budget</t>
  </si>
  <si>
    <t>Student Bachelor Field</t>
  </si>
  <si>
    <t>Required Degree Domains</t>
  </si>
  <si>
    <t>Should Match?</t>
  </si>
  <si>
    <t>Expected Score Range</t>
  </si>
  <si>
    <t>Computer Science</t>
  </si>
  <si>
    <t>agricultural sciences, horticulture, speciality crops</t>
  </si>
  <si>
    <t>0.0-0.2</t>
  </si>
  <si>
    <t>Unrelated fields</t>
  </si>
  <si>
    <t>Natural Sciences, Engineering</t>
  </si>
  <si>
    <t>MEDIUM</t>
  </si>
  <si>
    <t>0.5-0.7</t>
  </si>
  <si>
    <t>Related field with overlap</t>
  </si>
  <si>
    <t>Business Administration</t>
  </si>
  <si>
    <t>HIGH</t>
  </si>
  <si>
    <t>0.8-1.0</t>
  </si>
  <si>
    <t>Direct or very close match</t>
  </si>
  <si>
    <t>Economics, Business Administration, Social Sciences</t>
  </si>
  <si>
    <t>Business Administration, Economics</t>
  </si>
  <si>
    <t>bioinformatics, computer science, life sciences</t>
  </si>
  <si>
    <t>Electrical Engineering, related fields</t>
  </si>
  <si>
    <t>Chemical Engineering</t>
  </si>
  <si>
    <t>life sciences, industrial engineering</t>
  </si>
  <si>
    <t>bioengineering, bioprocess engineering, biochemical engineering</t>
  </si>
  <si>
    <t>business studies, business-related discipline</t>
  </si>
  <si>
    <t>computer science, engineering, economics</t>
  </si>
  <si>
    <t>business administration, economics</t>
  </si>
  <si>
    <t>Economics</t>
  </si>
  <si>
    <t>Business Informatics</t>
  </si>
  <si>
    <t>Marketing</t>
  </si>
  <si>
    <t>landscape architecture, landscape planning, landscape construction</t>
  </si>
  <si>
    <t>LOW</t>
  </si>
  <si>
    <t>0.3-0.5</t>
  </si>
  <si>
    <t>Same broad category but different focus</t>
  </si>
  <si>
    <t>Course Content Summary</t>
  </si>
  <si>
    <t>Student Interests</t>
  </si>
  <si>
    <t>Student Desired Programs</t>
  </si>
  <si>
    <t>Relevance Score (1-5)</t>
  </si>
  <si>
    <t>The Master's program in Computer and Information Science focuses on specialization in areas related to the exploration of large data volumes. Key topics include Data Science, Visual Computing, and Human-Computer Interaction (HCI). The curriculum has a strong research orientation, emphasizing exploratory analysis and visualization of large information spaces. Students can specialize in Data Science, Interactive Systems, Software and Systems, Visual Computing, and Algorithmics. The program includes a mentoring component where students are guided by a professor in their chosen field of specialization.</t>
  </si>
  <si>
    <t>Business Analytics, Digital Marketing, Innovation Management</t>
  </si>
  <si>
    <t>MBA, Business Management</t>
  </si>
  <si>
    <t>The program provides advanced knowledge in macroeconomics, microeconomics, and econometrics, preparing students for careers in international organizations, academia, and leadership roles. It focuses on both theoretical and empirical economic research. Students can choose from three specializations: 'Economics' offers a flexible curriculum with a wide range of electives. 'Competition and Regulation Economics' is tailored for careers in competition authorities, regulated industries like energy and telecommunications, and consulting, featuring modules on competition policy and regulatory economics. 'Economic Research' serves as a direct pathway to a PhD, deepening knowledge in core economic fields and preparing students for doctoral dissertations at the Center for Doctoral Studies in Economics (CDSE).</t>
  </si>
  <si>
    <t>The program provides comprehensive knowledge in AI-orientated Python programming, machine learning, deep learning, and generative AI. It also covers big data, data science, and data engineering. Practical skills are developed using application software from manufacturers like Microsoft, SAP, Siemens, and AWS, with a focus on ERP systems, cloud computing, robotic process automation (RPA), business intelligence, and analytics. Specialisations are offered in 'Industrial Operation and Transformation' (focusing on AI application areas and tools) and 'Artificial Intelligence and Data Engineering' (focusing on the development and refinement of AI tools).</t>
  </si>
  <si>
    <t>This program combines economics, finance, and econometrics to provide a deep understanding of economic theory, financial instruments for risk management, and modern econometric analysis. Students learn to analyze financial and economic data using statistical software like Matlab, GAUSS, SAS, and Stata. Core topics include the pricing of risky assets, the role of options and futures in social welfare, and managing financial stability. The curriculum develops methodological skills in theoretical modeling, econometrics, and programming, preparing graduates for careers in financial institutions, regulatory bodies, central banks, or academia.</t>
  </si>
  <si>
    <t>The Chemistry Master's programme at Ulm University provides in-depth knowledge of chemical research and scientific work methods. Students can specialize in core areas such as Inorganic Chemistry, Organic Chemistry, Physical Chemistry, Analytical Chemistry, Macromolecular Chemistry, Theoretical Chemistry, and Energy Technology. The curriculum also offers thematic profiles for further specialization, including Chemistry of Energy Storage and Conversion, Sustainable, Green and Environmental Chemistry, Chemistry of Molecular Materials Light Matter Interaction, and Chemistry of Healthcare and Biomaterials. The program emphasizes the development of new materials, understanding chemical reactions in biotic and abiotic systems, and addressing key challenges in energy production, conversion, and storage.</t>
  </si>
  <si>
    <t>The program specializes in the development and application of mechatronic systems using intelligent methods like AI. It covers the interface of mechanics, electronics, and computer science. Key topics include artificial intelligence, machine learning, and intelligent control systems. The curriculum, featuring a wide range of elective courses, aims to develop autonomous, adaptive, and efficient systems for industries such as automotive and robotics. Graduates are prepared for roles in research, development, and industry, focusing on the next generation of intelligent systems.</t>
  </si>
  <si>
    <t>The program covers internal and external business environments, focusing on human resource management, leadership, global marketing, and international finance and economics. A significant emphasis is placed on intercultural communication. Advanced studies in intercultural management adopt a cross-disciplinary approach. The final stage involves an in-depth empirical research thesis, ideally on real-world business situations with a focus on sustainability or corporate responsibility. The curriculum includes training in quantitative and qualitative research methods. Students have the option to integrate an internship or a study abroad semester.</t>
  </si>
  <si>
    <t>The Master's programme in Applied Artificial Intelligence (MAAI) provides in-depth training in AI technologies with two main tracks: Application and Research. Key topics include machine learning, data analysis, and artificial neural networks. The curriculum focuses on the practical application of AI in various sectors such as healthcare, engineering, logistics, business informatics, and software engineering, aiming to educate highly qualified professionals capable of applying and advancing these technologies across industries.</t>
  </si>
  <si>
    <t>This program provides a comprehensive focus on digital project management and the digitalization of companies. Core topics include digital transformation projects, digital management, digital business models and products, project and process management, and algorithms and data analytics. Students will gain in-depth knowledge of process analytics, process design, data analytics, and responsible management methods. The curriculum emphasizes applied skills in project management techniques, tools, and leadership. Elective courses in the third semester allow for individual profile shaping in areas like strategic management.</t>
  </si>
  <si>
    <t>Economics, Finance, International Trade</t>
  </si>
  <si>
    <t>Economics, Finance</t>
  </si>
  <si>
    <t>Digital Marketing, Brand Management, Consumer Behavior</t>
  </si>
  <si>
    <t>Marketing, Digital Marketing</t>
  </si>
  <si>
    <t>Artificial Intelligence, Machine Learning, Deep Learning, Data Science, Natural Language Processing</t>
  </si>
  <si>
    <t>Data Science, Artificial Intelligence</t>
  </si>
  <si>
    <t>Digital Transformation, Enterprise Architecture, Business Process Management, IT Consulting, Cloud Computing</t>
  </si>
  <si>
    <t>Business Informatics, Digital Business</t>
  </si>
  <si>
    <t>MANUAL CHECKING ECTS</t>
  </si>
  <si>
    <t>Profile</t>
  </si>
  <si>
    <t>Layer 1 (manual)</t>
  </si>
  <si>
    <t>Layer 1 (Agent)</t>
  </si>
  <si>
    <t>Layer 2 (manual)</t>
  </si>
  <si>
    <t>Layer 2 (Agent)</t>
  </si>
  <si>
    <t>2</t>
  </si>
  <si>
    <t>layer 3 (manual)</t>
  </si>
  <si>
    <t>layer 3 (agent)</t>
  </si>
  <si>
    <t>layer 4 (manual)</t>
  </si>
  <si>
    <t>layer 4 (agent)</t>
  </si>
  <si>
    <t>x</t>
  </si>
  <si>
    <t>This research-oriented program focuses on the transformation of plant and animal-based raw materials into value-added, safe, and stable food or nutrient formulas. It covers the interface between complex food matrices and technical processes in food development and production. Key areas include food processing equipment, biogenesis of raw materials, microbiological ecology, development of food formulas and processing techniques, automated production processes, and in-line sensor technology. The curriculum aims to transfer basic research concepts into new technological approaches that meet consumer expectations and individual nutritional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</si>
</sst>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alibri"/>
      <family val="2"/>
    </font>
    <font>
      <b/>
      <sz val="16"/>
      <color rgb="FFFFFFFF"/>
      <name val="Calibri"/>
      <family val="2"/>
    </font>
    <font>
      <b/>
      <sz val="12"/>
      <name val="Calibri"/>
      <family val="2"/>
    </font>
    <font>
      <i/>
      <sz val="11"/>
      <name val="Calibri"/>
      <family val="2"/>
    </font>
  </fonts>
  <fills count="6">
    <fill>
      <patternFill patternType="none"/>
    </fill>
    <fill>
      <patternFill patternType="gray125"/>
    </fill>
    <fill>
      <patternFill patternType="solid">
        <fgColor rgb="FF4472C4"/>
        <bgColor rgb="FF4472C4"/>
      </patternFill>
    </fill>
    <fill>
      <patternFill patternType="solid">
        <fgColor rgb="FF70AD47"/>
        <bgColor rgb="FF70AD47"/>
      </patternFill>
    </fill>
    <fill>
      <patternFill patternType="solid">
        <fgColor rgb="FFFFC000"/>
        <bgColor rgb="FFFFC000"/>
      </patternFill>
    </fill>
    <fill>
      <patternFill patternType="solid">
        <fgColor rgb="FF5B9BD5"/>
        <bgColor rgb="FF5B9BD5"/>
      </patternFill>
    </fill>
  </fills>
  <borders count="1">
    <border>
      <left/>
      <right/>
      <top/>
      <bottom/>
      <diagonal/>
    </border>
  </borders>
  <cellStyleXfs count="1">
    <xf numFmtId="0" fontId="0" fillId="0" borderId="0"/>
  </cellStyleXfs>
  <cellXfs count="8">
    <xf numFmtId="0" fontId="0" fillId="0" borderId="0" xfId="0"/>
    <xf numFmtId="0" fontId="2" fillId="5" borderId="0" xfId="0" applyFont="1" applyFill="1"/>
    <xf numFmtId="0" fontId="3" fillId="0" borderId="0" xfId="0" applyFont="1"/>
    <xf numFmtId="0" fontId="4" fillId="0" borderId="0" xfId="0" applyFont="1"/>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8"/>
  <sheetViews>
    <sheetView workbookViewId="0"/>
  </sheetViews>
  <sheetFormatPr baseColWidth="10" defaultColWidth="8.83203125" defaultRowHeight="15" x14ac:dyDescent="0.2"/>
  <cols>
    <col min="1" max="1" width="30" customWidth="1"/>
    <col min="2" max="2" width="80" customWidth="1"/>
  </cols>
  <sheetData>
    <row r="1" spans="1:2" ht="21" customHeight="1" x14ac:dyDescent="0.25">
      <c r="A1" s="1" t="s">
        <v>0</v>
      </c>
    </row>
    <row r="3" spans="1:2" x14ac:dyDescent="0.2">
      <c r="A3" t="s">
        <v>1</v>
      </c>
      <c r="B3" t="s">
        <v>2</v>
      </c>
    </row>
    <row r="5" spans="1:2" x14ac:dyDescent="0.2">
      <c r="A5" t="s">
        <v>3</v>
      </c>
    </row>
    <row r="7" spans="1:2" ht="16" customHeight="1" x14ac:dyDescent="0.2">
      <c r="A7" s="2" t="s">
        <v>4</v>
      </c>
    </row>
    <row r="8" spans="1:2" x14ac:dyDescent="0.2">
      <c r="A8" s="3" t="s">
        <v>5</v>
      </c>
    </row>
    <row r="9" spans="1:2" x14ac:dyDescent="0.2">
      <c r="A9" s="3" t="s">
        <v>6</v>
      </c>
    </row>
    <row r="10" spans="1:2" x14ac:dyDescent="0.2">
      <c r="A10" s="3" t="s">
        <v>7</v>
      </c>
    </row>
    <row r="11" spans="1:2" x14ac:dyDescent="0.2">
      <c r="A11" s="3" t="s">
        <v>8</v>
      </c>
    </row>
    <row r="12" spans="1:2" x14ac:dyDescent="0.2">
      <c r="A12" s="3" t="s">
        <v>9</v>
      </c>
    </row>
    <row r="13" spans="1:2" x14ac:dyDescent="0.2">
      <c r="A13" s="3" t="s">
        <v>10</v>
      </c>
    </row>
    <row r="14" spans="1:2" x14ac:dyDescent="0.2">
      <c r="A14" s="3" t="s">
        <v>11</v>
      </c>
    </row>
    <row r="15" spans="1:2" x14ac:dyDescent="0.2">
      <c r="A15" s="3" t="s">
        <v>12</v>
      </c>
    </row>
    <row r="16" spans="1:2" x14ac:dyDescent="0.2">
      <c r="A16" s="3" t="s">
        <v>13</v>
      </c>
    </row>
    <row r="18" spans="1:1" ht="16" customHeight="1" x14ac:dyDescent="0.2">
      <c r="A18" s="2" t="s">
        <v>14</v>
      </c>
    </row>
    <row r="19" spans="1:1" x14ac:dyDescent="0.2">
      <c r="A19" s="3" t="s">
        <v>15</v>
      </c>
    </row>
    <row r="20" spans="1:1" x14ac:dyDescent="0.2">
      <c r="A20" s="3" t="s">
        <v>16</v>
      </c>
    </row>
    <row r="21" spans="1:1" x14ac:dyDescent="0.2">
      <c r="A21" s="3" t="s">
        <v>17</v>
      </c>
    </row>
    <row r="22" spans="1:1" x14ac:dyDescent="0.2">
      <c r="A22" s="3" t="s">
        <v>18</v>
      </c>
    </row>
    <row r="23" spans="1:1" x14ac:dyDescent="0.2">
      <c r="A23" s="3" t="s">
        <v>19</v>
      </c>
    </row>
    <row r="24" spans="1:1" x14ac:dyDescent="0.2">
      <c r="A24" s="3" t="s">
        <v>20</v>
      </c>
    </row>
    <row r="25" spans="1:1" x14ac:dyDescent="0.2">
      <c r="A25" s="3" t="s">
        <v>21</v>
      </c>
    </row>
    <row r="26" spans="1:1" x14ac:dyDescent="0.2">
      <c r="A26" s="3" t="s">
        <v>22</v>
      </c>
    </row>
    <row r="27" spans="1:1" x14ac:dyDescent="0.2">
      <c r="A27" s="3" t="s">
        <v>23</v>
      </c>
    </row>
    <row r="28" spans="1:1" x14ac:dyDescent="0.2">
      <c r="A28" s="3" t="s">
        <v>24</v>
      </c>
    </row>
    <row r="29" spans="1:1" x14ac:dyDescent="0.2">
      <c r="A29" s="3" t="s">
        <v>25</v>
      </c>
    </row>
    <row r="31" spans="1:1" ht="16" customHeight="1" x14ac:dyDescent="0.2">
      <c r="A31" s="2" t="s">
        <v>26</v>
      </c>
    </row>
    <row r="32" spans="1:1" x14ac:dyDescent="0.2">
      <c r="A32" s="3" t="s">
        <v>27</v>
      </c>
    </row>
    <row r="33" spans="1:1" x14ac:dyDescent="0.2">
      <c r="A33" s="3" t="s">
        <v>28</v>
      </c>
    </row>
    <row r="34" spans="1:1" x14ac:dyDescent="0.2">
      <c r="A34" s="3" t="s">
        <v>29</v>
      </c>
    </row>
    <row r="35" spans="1:1" x14ac:dyDescent="0.2">
      <c r="A35" s="3" t="s">
        <v>30</v>
      </c>
    </row>
    <row r="36" spans="1:1" x14ac:dyDescent="0.2">
      <c r="A36" s="3" t="s">
        <v>31</v>
      </c>
    </row>
    <row r="37" spans="1:1" x14ac:dyDescent="0.2">
      <c r="A37" s="3" t="s">
        <v>32</v>
      </c>
    </row>
    <row r="38" spans="1:1" x14ac:dyDescent="0.2">
      <c r="A38" s="3" t="s">
        <v>33</v>
      </c>
    </row>
    <row r="39" spans="1:1" x14ac:dyDescent="0.2">
      <c r="A39" s="3" t="s">
        <v>34</v>
      </c>
    </row>
    <row r="41" spans="1:1" x14ac:dyDescent="0.2">
      <c r="A41" t="s">
        <v>35</v>
      </c>
    </row>
    <row r="42" spans="1:1" x14ac:dyDescent="0.2">
      <c r="A42" s="3" t="s">
        <v>36</v>
      </c>
    </row>
    <row r="43" spans="1:1" x14ac:dyDescent="0.2">
      <c r="A43" s="3" t="s">
        <v>37</v>
      </c>
    </row>
    <row r="44" spans="1:1" x14ac:dyDescent="0.2">
      <c r="A44" s="3" t="s">
        <v>38</v>
      </c>
    </row>
    <row r="45" spans="1:1" x14ac:dyDescent="0.2">
      <c r="A45" s="3" t="s">
        <v>39</v>
      </c>
    </row>
    <row r="47" spans="1:1" x14ac:dyDescent="0.2">
      <c r="A47" t="s">
        <v>40</v>
      </c>
    </row>
    <row r="48" spans="1:1" x14ac:dyDescent="0.2">
      <c r="A48" s="3" t="s">
        <v>41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6EC1-9DBB-DD4C-B983-1D1D7286EA31}">
  <dimension ref="A1:I6"/>
  <sheetViews>
    <sheetView workbookViewId="0">
      <selection activeCell="I5" sqref="I5"/>
    </sheetView>
  </sheetViews>
  <sheetFormatPr baseColWidth="10" defaultRowHeight="15" x14ac:dyDescent="0.2"/>
  <cols>
    <col min="1" max="1" width="6.1640625" bestFit="1" customWidth="1"/>
    <col min="2" max="2" width="13.5" bestFit="1" customWidth="1"/>
    <col min="3" max="3" width="12.1640625" bestFit="1" customWidth="1"/>
    <col min="4" max="4" width="13.5" bestFit="1" customWidth="1"/>
    <col min="5" max="5" width="12.1640625" bestFit="1" customWidth="1"/>
    <col min="6" max="6" width="13.1640625" bestFit="1" customWidth="1"/>
    <col min="7" max="7" width="11.6640625" bestFit="1" customWidth="1"/>
    <col min="8" max="8" width="13.1640625" bestFit="1" customWidth="1"/>
    <col min="9" max="9" width="11.6640625" bestFit="1" customWidth="1"/>
  </cols>
  <sheetData>
    <row r="1" spans="1:9" x14ac:dyDescent="0.2">
      <c r="A1" t="s">
        <v>260</v>
      </c>
      <c r="B1" t="s">
        <v>261</v>
      </c>
      <c r="C1" t="s">
        <v>262</v>
      </c>
      <c r="D1" t="s">
        <v>263</v>
      </c>
      <c r="E1" t="s">
        <v>264</v>
      </c>
      <c r="F1" t="s">
        <v>266</v>
      </c>
      <c r="G1" t="s">
        <v>267</v>
      </c>
      <c r="H1" t="s">
        <v>268</v>
      </c>
      <c r="I1" t="s">
        <v>269</v>
      </c>
    </row>
    <row r="2" spans="1:9" x14ac:dyDescent="0.2">
      <c r="A2">
        <v>1</v>
      </c>
      <c r="B2" s="7" t="s">
        <v>265</v>
      </c>
      <c r="C2" s="7" t="s">
        <v>265</v>
      </c>
      <c r="D2" s="7"/>
      <c r="E2">
        <v>1</v>
      </c>
      <c r="G2">
        <v>1</v>
      </c>
      <c r="I2">
        <v>1</v>
      </c>
    </row>
    <row r="3" spans="1:9" x14ac:dyDescent="0.2">
      <c r="A3">
        <v>2</v>
      </c>
    </row>
    <row r="4" spans="1:9" x14ac:dyDescent="0.2">
      <c r="A4">
        <v>3</v>
      </c>
    </row>
    <row r="5" spans="1:9" x14ac:dyDescent="0.2">
      <c r="A5">
        <v>4</v>
      </c>
    </row>
    <row r="6" spans="1:9" x14ac:dyDescent="0.2">
      <c r="A6">
        <v>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109"/>
  <sheetViews>
    <sheetView tabSelected="1" topLeftCell="AB81" workbookViewId="0">
      <selection activeCell="AD107" sqref="AD107"/>
    </sheetView>
  </sheetViews>
  <sheetFormatPr baseColWidth="10" defaultColWidth="8.83203125" defaultRowHeight="15" x14ac:dyDescent="0.2"/>
  <cols>
    <col min="1" max="1" width="21" customWidth="1"/>
    <col min="2" max="2" width="40" customWidth="1"/>
    <col min="3" max="3" width="12" customWidth="1"/>
    <col min="4" max="5" width="40" customWidth="1"/>
    <col min="6" max="6" width="22" customWidth="1"/>
    <col min="7" max="7" width="17" customWidth="1"/>
    <col min="8" max="8" width="11" customWidth="1"/>
    <col min="9" max="9" width="21" customWidth="1"/>
    <col min="10" max="10" width="22" customWidth="1"/>
    <col min="11" max="11" width="26" customWidth="1"/>
    <col min="12" max="12" width="15" customWidth="1"/>
    <col min="13" max="13" width="30" customWidth="1"/>
    <col min="14" max="14" width="17" customWidth="1"/>
    <col min="15" max="15" width="16" customWidth="1"/>
    <col min="16" max="16" width="17" customWidth="1"/>
    <col min="17" max="17" width="29" customWidth="1"/>
    <col min="18" max="18" width="15" customWidth="1"/>
    <col min="19" max="19" width="27" customWidth="1"/>
    <col min="20" max="20" width="22" customWidth="1"/>
    <col min="21" max="21" width="16" customWidth="1"/>
    <col min="22" max="22" width="28" customWidth="1"/>
    <col min="23" max="24" width="19" customWidth="1"/>
    <col min="25" max="25" width="16" customWidth="1"/>
    <col min="26" max="26" width="14" customWidth="1"/>
    <col min="27" max="27" width="18" customWidth="1"/>
    <col min="28" max="28" width="12" customWidth="1"/>
    <col min="29" max="29" width="40" customWidth="1"/>
    <col min="30" max="30" width="19" customWidth="1"/>
    <col min="31" max="31" width="22" customWidth="1"/>
    <col min="32" max="32" width="7" customWidth="1"/>
  </cols>
  <sheetData>
    <row r="1" spans="1:32" ht="16" customHeight="1" x14ac:dyDescent="0.2">
      <c r="A1" s="4" t="s">
        <v>42</v>
      </c>
      <c r="B1" s="4" t="s">
        <v>43</v>
      </c>
      <c r="C1" s="4" t="s">
        <v>44</v>
      </c>
      <c r="D1" s="4" t="s">
        <v>45</v>
      </c>
      <c r="E1" s="4" t="s">
        <v>46</v>
      </c>
      <c r="F1" s="4" t="s">
        <v>47</v>
      </c>
      <c r="G1" s="4" t="s">
        <v>48</v>
      </c>
      <c r="H1" s="4" t="s">
        <v>49</v>
      </c>
      <c r="I1" s="4" t="s">
        <v>50</v>
      </c>
      <c r="J1" s="4" t="s">
        <v>51</v>
      </c>
      <c r="K1" s="4" t="s">
        <v>52</v>
      </c>
      <c r="L1" s="4" t="s">
        <v>53</v>
      </c>
      <c r="M1" s="4" t="s">
        <v>54</v>
      </c>
      <c r="N1" s="4" t="s">
        <v>55</v>
      </c>
      <c r="O1" s="4" t="s">
        <v>56</v>
      </c>
      <c r="P1" s="4" t="s">
        <v>57</v>
      </c>
      <c r="Q1" s="4" t="s">
        <v>58</v>
      </c>
      <c r="R1" s="4" t="s">
        <v>59</v>
      </c>
      <c r="S1" s="4" t="s">
        <v>60</v>
      </c>
      <c r="T1" s="4" t="s">
        <v>61</v>
      </c>
      <c r="U1" s="4" t="s">
        <v>62</v>
      </c>
      <c r="V1" s="4" t="s">
        <v>63</v>
      </c>
      <c r="W1" s="4" t="s">
        <v>64</v>
      </c>
      <c r="X1" s="4" t="s">
        <v>65</v>
      </c>
      <c r="Y1" s="4" t="s">
        <v>66</v>
      </c>
      <c r="Z1" s="4" t="s">
        <v>67</v>
      </c>
      <c r="AA1" s="4" t="s">
        <v>68</v>
      </c>
      <c r="AB1" s="4" t="s">
        <v>69</v>
      </c>
      <c r="AC1" s="4" t="s">
        <v>70</v>
      </c>
      <c r="AD1" s="4" t="s">
        <v>71</v>
      </c>
      <c r="AE1" s="4" t="s">
        <v>72</v>
      </c>
      <c r="AF1" s="4" t="s">
        <v>73</v>
      </c>
    </row>
    <row r="2" spans="1:32" x14ac:dyDescent="0.2">
      <c r="A2" t="s">
        <v>74</v>
      </c>
      <c r="B2" t="s">
        <v>75</v>
      </c>
      <c r="C2" t="s">
        <v>76</v>
      </c>
      <c r="D2" t="s">
        <v>77</v>
      </c>
      <c r="E2" t="s">
        <v>78</v>
      </c>
      <c r="F2">
        <v>1.75</v>
      </c>
      <c r="H2" t="s">
        <v>79</v>
      </c>
      <c r="I2">
        <v>3000</v>
      </c>
      <c r="J2">
        <v>750</v>
      </c>
      <c r="K2">
        <v>1500</v>
      </c>
      <c r="L2" t="s">
        <v>79</v>
      </c>
      <c r="M2" t="s">
        <v>80</v>
      </c>
      <c r="N2" t="s">
        <v>81</v>
      </c>
      <c r="O2" t="s">
        <v>82</v>
      </c>
      <c r="P2" t="s">
        <v>83</v>
      </c>
      <c r="Q2" t="s">
        <v>84</v>
      </c>
      <c r="R2" t="s">
        <v>79</v>
      </c>
      <c r="S2">
        <v>0</v>
      </c>
      <c r="T2">
        <v>0</v>
      </c>
      <c r="U2" t="s">
        <v>79</v>
      </c>
      <c r="V2" t="s">
        <v>85</v>
      </c>
      <c r="W2" t="s">
        <v>86</v>
      </c>
      <c r="X2" t="s">
        <v>87</v>
      </c>
      <c r="Y2" t="s">
        <v>82</v>
      </c>
      <c r="Z2">
        <v>240</v>
      </c>
      <c r="AA2">
        <v>180</v>
      </c>
      <c r="AB2" t="s">
        <v>79</v>
      </c>
      <c r="AC2" t="s">
        <v>79</v>
      </c>
      <c r="AD2" t="s">
        <v>82</v>
      </c>
      <c r="AE2" t="s">
        <v>88</v>
      </c>
    </row>
    <row r="3" spans="1:32" x14ac:dyDescent="0.2">
      <c r="A3" t="s">
        <v>74</v>
      </c>
      <c r="B3" t="s">
        <v>75</v>
      </c>
      <c r="C3" t="s">
        <v>89</v>
      </c>
      <c r="D3" t="s">
        <v>90</v>
      </c>
      <c r="E3" t="s">
        <v>91</v>
      </c>
      <c r="F3">
        <v>1.75</v>
      </c>
      <c r="H3" t="s">
        <v>79</v>
      </c>
      <c r="I3">
        <v>3000</v>
      </c>
      <c r="J3">
        <v>0</v>
      </c>
      <c r="K3">
        <v>1500</v>
      </c>
      <c r="L3" t="s">
        <v>79</v>
      </c>
      <c r="M3" t="s">
        <v>80</v>
      </c>
      <c r="N3" t="s">
        <v>92</v>
      </c>
      <c r="O3" t="s">
        <v>82</v>
      </c>
      <c r="P3" t="s">
        <v>83</v>
      </c>
      <c r="Q3" t="s">
        <v>84</v>
      </c>
      <c r="R3" t="s">
        <v>79</v>
      </c>
      <c r="S3">
        <v>0</v>
      </c>
      <c r="T3">
        <v>0</v>
      </c>
      <c r="U3" t="s">
        <v>79</v>
      </c>
      <c r="V3" t="s">
        <v>85</v>
      </c>
      <c r="W3" t="s">
        <v>87</v>
      </c>
      <c r="X3" t="s">
        <v>87</v>
      </c>
      <c r="Y3" t="s">
        <v>79</v>
      </c>
      <c r="Z3">
        <v>240</v>
      </c>
      <c r="AA3">
        <v>180</v>
      </c>
      <c r="AB3" t="s">
        <v>79</v>
      </c>
      <c r="AC3" t="s">
        <v>79</v>
      </c>
      <c r="AD3" t="s">
        <v>82</v>
      </c>
      <c r="AE3" t="s">
        <v>93</v>
      </c>
    </row>
    <row r="4" spans="1:32" x14ac:dyDescent="0.2">
      <c r="A4" t="s">
        <v>74</v>
      </c>
      <c r="B4" t="s">
        <v>75</v>
      </c>
      <c r="C4" t="s">
        <v>94</v>
      </c>
      <c r="D4" t="s">
        <v>95</v>
      </c>
      <c r="E4" t="s">
        <v>96</v>
      </c>
      <c r="F4">
        <v>1.75</v>
      </c>
      <c r="G4">
        <v>2.5</v>
      </c>
      <c r="H4" t="s">
        <v>79</v>
      </c>
      <c r="I4">
        <v>3000</v>
      </c>
      <c r="J4">
        <v>0</v>
      </c>
      <c r="K4">
        <v>1500</v>
      </c>
      <c r="L4" t="s">
        <v>79</v>
      </c>
      <c r="M4" t="s">
        <v>80</v>
      </c>
      <c r="N4" t="s">
        <v>97</v>
      </c>
      <c r="O4" t="s">
        <v>82</v>
      </c>
      <c r="P4" t="s">
        <v>83</v>
      </c>
      <c r="Q4" t="s">
        <v>84</v>
      </c>
      <c r="R4" t="s">
        <v>79</v>
      </c>
      <c r="S4">
        <v>0</v>
      </c>
      <c r="T4">
        <v>0</v>
      </c>
      <c r="U4" t="s">
        <v>79</v>
      </c>
      <c r="V4" t="s">
        <v>85</v>
      </c>
      <c r="W4" t="s">
        <v>87</v>
      </c>
      <c r="X4" t="s">
        <v>86</v>
      </c>
      <c r="Y4" t="s">
        <v>79</v>
      </c>
      <c r="Z4">
        <v>240</v>
      </c>
      <c r="AA4">
        <v>180</v>
      </c>
      <c r="AB4" t="s">
        <v>79</v>
      </c>
      <c r="AC4" t="s">
        <v>98</v>
      </c>
      <c r="AD4" t="s">
        <v>98</v>
      </c>
      <c r="AE4" t="s">
        <v>99</v>
      </c>
    </row>
    <row r="5" spans="1:32" x14ac:dyDescent="0.2">
      <c r="A5" t="s">
        <v>74</v>
      </c>
      <c r="B5" t="s">
        <v>75</v>
      </c>
      <c r="C5" t="s">
        <v>100</v>
      </c>
      <c r="D5" t="s">
        <v>101</v>
      </c>
      <c r="E5" t="s">
        <v>102</v>
      </c>
      <c r="F5">
        <v>1.75</v>
      </c>
      <c r="H5" t="s">
        <v>79</v>
      </c>
      <c r="I5">
        <v>3000</v>
      </c>
      <c r="J5">
        <v>0</v>
      </c>
      <c r="K5">
        <v>1500</v>
      </c>
      <c r="L5" t="s">
        <v>79</v>
      </c>
      <c r="M5" t="s">
        <v>80</v>
      </c>
      <c r="N5" t="s">
        <v>103</v>
      </c>
      <c r="O5" t="s">
        <v>82</v>
      </c>
      <c r="P5" t="s">
        <v>83</v>
      </c>
      <c r="Q5" t="s">
        <v>84</v>
      </c>
      <c r="R5" t="s">
        <v>79</v>
      </c>
      <c r="S5">
        <v>0</v>
      </c>
      <c r="T5">
        <v>0</v>
      </c>
      <c r="U5" t="s">
        <v>79</v>
      </c>
      <c r="V5" t="s">
        <v>85</v>
      </c>
      <c r="W5" t="s">
        <v>87</v>
      </c>
      <c r="X5" t="s">
        <v>87</v>
      </c>
      <c r="Y5" t="s">
        <v>79</v>
      </c>
      <c r="Z5">
        <v>240</v>
      </c>
      <c r="AA5">
        <v>180</v>
      </c>
      <c r="AB5" t="s">
        <v>79</v>
      </c>
      <c r="AC5" t="s">
        <v>79</v>
      </c>
      <c r="AD5" t="s">
        <v>82</v>
      </c>
      <c r="AE5" t="s">
        <v>104</v>
      </c>
    </row>
    <row r="6" spans="1:32" x14ac:dyDescent="0.2">
      <c r="A6" t="s">
        <v>74</v>
      </c>
      <c r="B6" t="s">
        <v>75</v>
      </c>
      <c r="C6" t="s">
        <v>105</v>
      </c>
      <c r="D6" t="s">
        <v>106</v>
      </c>
      <c r="E6" t="s">
        <v>107</v>
      </c>
      <c r="F6">
        <v>1.75</v>
      </c>
      <c r="G6">
        <v>2.5</v>
      </c>
      <c r="H6" t="s">
        <v>79</v>
      </c>
      <c r="I6">
        <v>3000</v>
      </c>
      <c r="J6">
        <v>0</v>
      </c>
      <c r="K6">
        <v>1500</v>
      </c>
      <c r="L6" t="s">
        <v>79</v>
      </c>
      <c r="M6" t="s">
        <v>80</v>
      </c>
      <c r="N6" t="s">
        <v>108</v>
      </c>
      <c r="O6" t="s">
        <v>82</v>
      </c>
      <c r="P6" t="s">
        <v>83</v>
      </c>
      <c r="Q6" t="s">
        <v>84</v>
      </c>
      <c r="R6" t="s">
        <v>79</v>
      </c>
      <c r="S6">
        <v>0</v>
      </c>
      <c r="T6">
        <v>0</v>
      </c>
      <c r="U6" t="s">
        <v>79</v>
      </c>
      <c r="V6" t="s">
        <v>85</v>
      </c>
      <c r="W6" t="s">
        <v>87</v>
      </c>
      <c r="X6" t="s">
        <v>86</v>
      </c>
      <c r="Y6" t="s">
        <v>79</v>
      </c>
      <c r="Z6">
        <v>240</v>
      </c>
      <c r="AA6">
        <v>180</v>
      </c>
      <c r="AB6" t="s">
        <v>79</v>
      </c>
      <c r="AC6" t="s">
        <v>79</v>
      </c>
      <c r="AD6" t="s">
        <v>82</v>
      </c>
      <c r="AE6" t="s">
        <v>109</v>
      </c>
    </row>
    <row r="7" spans="1:32" x14ac:dyDescent="0.2">
      <c r="A7" t="s">
        <v>74</v>
      </c>
      <c r="B7" t="s">
        <v>75</v>
      </c>
      <c r="C7" t="s">
        <v>110</v>
      </c>
      <c r="D7" t="s">
        <v>111</v>
      </c>
      <c r="E7" t="s">
        <v>112</v>
      </c>
      <c r="F7">
        <v>1.75</v>
      </c>
      <c r="H7" t="s">
        <v>79</v>
      </c>
      <c r="I7">
        <v>3000</v>
      </c>
      <c r="J7">
        <v>7300</v>
      </c>
      <c r="K7">
        <v>1500</v>
      </c>
      <c r="L7" t="s">
        <v>79</v>
      </c>
      <c r="M7" t="s">
        <v>80</v>
      </c>
      <c r="N7" t="s">
        <v>113</v>
      </c>
      <c r="O7" t="s">
        <v>82</v>
      </c>
      <c r="P7" t="s">
        <v>83</v>
      </c>
      <c r="Q7" t="s">
        <v>114</v>
      </c>
      <c r="R7" t="s">
        <v>82</v>
      </c>
      <c r="S7">
        <v>0</v>
      </c>
      <c r="T7">
        <v>0</v>
      </c>
      <c r="U7" t="s">
        <v>79</v>
      </c>
      <c r="V7" t="s">
        <v>85</v>
      </c>
      <c r="W7" t="s">
        <v>86</v>
      </c>
      <c r="X7" t="s">
        <v>86</v>
      </c>
      <c r="Y7" t="s">
        <v>82</v>
      </c>
      <c r="Z7">
        <v>240</v>
      </c>
      <c r="AA7">
        <v>180</v>
      </c>
      <c r="AB7" t="s">
        <v>79</v>
      </c>
      <c r="AC7" t="s">
        <v>79</v>
      </c>
      <c r="AD7" t="s">
        <v>82</v>
      </c>
      <c r="AE7" t="s">
        <v>115</v>
      </c>
    </row>
    <row r="8" spans="1:32" x14ac:dyDescent="0.2">
      <c r="A8" t="s">
        <v>74</v>
      </c>
      <c r="B8" t="s">
        <v>75</v>
      </c>
      <c r="C8" t="s">
        <v>116</v>
      </c>
      <c r="D8" t="s">
        <v>117</v>
      </c>
      <c r="E8" t="s">
        <v>107</v>
      </c>
      <c r="F8">
        <v>1.75</v>
      </c>
      <c r="G8">
        <v>2.5</v>
      </c>
      <c r="H8" t="s">
        <v>79</v>
      </c>
      <c r="I8">
        <v>3000</v>
      </c>
      <c r="J8">
        <v>0</v>
      </c>
      <c r="K8">
        <v>1500</v>
      </c>
      <c r="L8" t="s">
        <v>79</v>
      </c>
      <c r="M8" t="s">
        <v>80</v>
      </c>
      <c r="N8" t="s">
        <v>108</v>
      </c>
      <c r="O8" t="s">
        <v>82</v>
      </c>
      <c r="P8" t="s">
        <v>83</v>
      </c>
      <c r="Q8" t="s">
        <v>84</v>
      </c>
      <c r="R8" t="s">
        <v>79</v>
      </c>
      <c r="S8">
        <v>0</v>
      </c>
      <c r="T8">
        <v>0</v>
      </c>
      <c r="U8" t="s">
        <v>79</v>
      </c>
      <c r="V8" t="s">
        <v>85</v>
      </c>
      <c r="W8" t="s">
        <v>87</v>
      </c>
      <c r="X8" t="s">
        <v>87</v>
      </c>
      <c r="Y8" t="s">
        <v>79</v>
      </c>
      <c r="Z8">
        <v>240</v>
      </c>
      <c r="AA8">
        <v>180</v>
      </c>
      <c r="AB8" t="s">
        <v>79</v>
      </c>
      <c r="AC8" t="s">
        <v>79</v>
      </c>
      <c r="AD8" t="s">
        <v>82</v>
      </c>
      <c r="AE8" t="s">
        <v>109</v>
      </c>
    </row>
    <row r="9" spans="1:32" x14ac:dyDescent="0.2">
      <c r="A9" t="s">
        <v>74</v>
      </c>
      <c r="B9" t="s">
        <v>75</v>
      </c>
      <c r="C9" t="s">
        <v>118</v>
      </c>
      <c r="D9" t="s">
        <v>119</v>
      </c>
      <c r="E9" t="s">
        <v>120</v>
      </c>
      <c r="F9">
        <v>1.75</v>
      </c>
      <c r="H9" t="s">
        <v>79</v>
      </c>
      <c r="I9">
        <v>3000</v>
      </c>
      <c r="J9">
        <v>0</v>
      </c>
      <c r="K9">
        <v>1500</v>
      </c>
      <c r="L9" t="s">
        <v>79</v>
      </c>
      <c r="M9" t="s">
        <v>80</v>
      </c>
      <c r="N9" t="s">
        <v>121</v>
      </c>
      <c r="O9" t="s">
        <v>82</v>
      </c>
      <c r="P9" t="s">
        <v>83</v>
      </c>
      <c r="Q9" t="s">
        <v>84</v>
      </c>
      <c r="R9" t="s">
        <v>79</v>
      </c>
      <c r="S9">
        <v>0</v>
      </c>
      <c r="T9">
        <v>0</v>
      </c>
      <c r="U9" t="s">
        <v>79</v>
      </c>
      <c r="V9" t="s">
        <v>85</v>
      </c>
      <c r="W9" t="s">
        <v>87</v>
      </c>
      <c r="X9" t="s">
        <v>87</v>
      </c>
      <c r="Y9" t="s">
        <v>79</v>
      </c>
      <c r="Z9">
        <v>240</v>
      </c>
      <c r="AA9">
        <v>180</v>
      </c>
      <c r="AB9" t="s">
        <v>79</v>
      </c>
      <c r="AC9" t="s">
        <v>79</v>
      </c>
      <c r="AD9" t="s">
        <v>82</v>
      </c>
      <c r="AE9" t="s">
        <v>122</v>
      </c>
    </row>
    <row r="10" spans="1:32" x14ac:dyDescent="0.2">
      <c r="A10" t="s">
        <v>74</v>
      </c>
      <c r="B10" t="s">
        <v>75</v>
      </c>
      <c r="C10" t="s">
        <v>123</v>
      </c>
      <c r="D10" t="s">
        <v>124</v>
      </c>
      <c r="E10" t="s">
        <v>125</v>
      </c>
      <c r="F10">
        <v>1.75</v>
      </c>
      <c r="H10" t="s">
        <v>79</v>
      </c>
      <c r="I10">
        <v>3000</v>
      </c>
      <c r="J10">
        <v>0</v>
      </c>
      <c r="K10">
        <v>1500</v>
      </c>
      <c r="L10" t="s">
        <v>79</v>
      </c>
      <c r="M10" t="s">
        <v>80</v>
      </c>
      <c r="N10" t="s">
        <v>126</v>
      </c>
      <c r="O10" t="s">
        <v>82</v>
      </c>
      <c r="P10" t="s">
        <v>83</v>
      </c>
      <c r="Q10" t="s">
        <v>84</v>
      </c>
      <c r="R10" t="s">
        <v>79</v>
      </c>
      <c r="S10">
        <v>0</v>
      </c>
      <c r="T10">
        <v>0</v>
      </c>
      <c r="U10" t="s">
        <v>79</v>
      </c>
      <c r="V10" t="s">
        <v>85</v>
      </c>
      <c r="W10" t="s">
        <v>87</v>
      </c>
      <c r="X10" t="s">
        <v>87</v>
      </c>
      <c r="Y10" t="s">
        <v>79</v>
      </c>
      <c r="Z10">
        <v>240</v>
      </c>
      <c r="AA10">
        <v>180</v>
      </c>
      <c r="AB10" t="s">
        <v>79</v>
      </c>
      <c r="AC10" t="s">
        <v>79</v>
      </c>
      <c r="AD10" t="s">
        <v>82</v>
      </c>
      <c r="AE10" t="s">
        <v>127</v>
      </c>
    </row>
    <row r="11" spans="1:32" x14ac:dyDescent="0.2">
      <c r="A11" t="s">
        <v>74</v>
      </c>
      <c r="B11" t="s">
        <v>75</v>
      </c>
      <c r="C11" t="s">
        <v>128</v>
      </c>
      <c r="D11" t="s">
        <v>129</v>
      </c>
      <c r="E11" t="s">
        <v>130</v>
      </c>
      <c r="F11">
        <v>1.75</v>
      </c>
      <c r="G11">
        <v>2.5</v>
      </c>
      <c r="H11" t="s">
        <v>79</v>
      </c>
      <c r="I11">
        <v>3000</v>
      </c>
      <c r="J11">
        <v>0</v>
      </c>
      <c r="K11">
        <v>1500</v>
      </c>
      <c r="L11" t="s">
        <v>79</v>
      </c>
      <c r="M11" t="s">
        <v>80</v>
      </c>
      <c r="N11" t="s">
        <v>131</v>
      </c>
      <c r="O11" t="s">
        <v>82</v>
      </c>
      <c r="P11" t="s">
        <v>83</v>
      </c>
      <c r="Q11" t="s">
        <v>84</v>
      </c>
      <c r="R11" t="s">
        <v>79</v>
      </c>
      <c r="S11">
        <v>0</v>
      </c>
      <c r="T11">
        <v>0</v>
      </c>
      <c r="U11" t="s">
        <v>79</v>
      </c>
      <c r="V11" t="s">
        <v>85</v>
      </c>
      <c r="W11" t="s">
        <v>87</v>
      </c>
      <c r="X11" t="s">
        <v>86</v>
      </c>
      <c r="Y11" t="s">
        <v>79</v>
      </c>
      <c r="Z11">
        <v>240</v>
      </c>
      <c r="AA11">
        <v>180</v>
      </c>
      <c r="AB11" t="s">
        <v>79</v>
      </c>
      <c r="AC11" t="s">
        <v>79</v>
      </c>
      <c r="AD11" t="s">
        <v>82</v>
      </c>
      <c r="AE11" t="s">
        <v>132</v>
      </c>
    </row>
    <row r="12" spans="1:32" x14ac:dyDescent="0.2">
      <c r="A12" t="s">
        <v>74</v>
      </c>
      <c r="B12" t="s">
        <v>75</v>
      </c>
      <c r="C12" t="s">
        <v>133</v>
      </c>
      <c r="D12" t="s">
        <v>134</v>
      </c>
      <c r="E12" t="s">
        <v>120</v>
      </c>
      <c r="F12">
        <v>1.75</v>
      </c>
      <c r="G12">
        <v>3</v>
      </c>
      <c r="H12" t="s">
        <v>79</v>
      </c>
      <c r="I12">
        <v>3000</v>
      </c>
      <c r="J12">
        <v>0</v>
      </c>
      <c r="K12">
        <v>1500</v>
      </c>
      <c r="L12" t="s">
        <v>79</v>
      </c>
      <c r="M12" t="s">
        <v>80</v>
      </c>
      <c r="N12" t="s">
        <v>121</v>
      </c>
      <c r="O12" t="s">
        <v>82</v>
      </c>
      <c r="P12" t="s">
        <v>83</v>
      </c>
      <c r="Q12" t="s">
        <v>84</v>
      </c>
      <c r="R12" t="s">
        <v>79</v>
      </c>
      <c r="S12">
        <v>0</v>
      </c>
      <c r="T12">
        <v>0</v>
      </c>
      <c r="U12" t="s">
        <v>79</v>
      </c>
      <c r="V12" t="s">
        <v>85</v>
      </c>
      <c r="W12" t="s">
        <v>87</v>
      </c>
      <c r="X12" t="s">
        <v>87</v>
      </c>
      <c r="Y12" t="s">
        <v>79</v>
      </c>
      <c r="Z12">
        <v>240</v>
      </c>
      <c r="AA12">
        <v>180</v>
      </c>
      <c r="AB12" t="s">
        <v>79</v>
      </c>
      <c r="AC12" t="s">
        <v>98</v>
      </c>
      <c r="AD12" t="s">
        <v>98</v>
      </c>
      <c r="AE12" t="s">
        <v>135</v>
      </c>
    </row>
    <row r="13" spans="1:32" x14ac:dyDescent="0.2">
      <c r="A13" t="s">
        <v>74</v>
      </c>
      <c r="B13" t="s">
        <v>75</v>
      </c>
      <c r="C13" t="s">
        <v>136</v>
      </c>
      <c r="D13" t="s">
        <v>137</v>
      </c>
      <c r="E13" t="s">
        <v>138</v>
      </c>
      <c r="F13">
        <v>1.75</v>
      </c>
      <c r="H13" t="s">
        <v>79</v>
      </c>
      <c r="I13">
        <v>3000</v>
      </c>
      <c r="J13">
        <v>0</v>
      </c>
      <c r="K13">
        <v>1500</v>
      </c>
      <c r="L13" t="s">
        <v>79</v>
      </c>
      <c r="M13" t="s">
        <v>80</v>
      </c>
      <c r="N13" t="s">
        <v>139</v>
      </c>
      <c r="O13" t="s">
        <v>79</v>
      </c>
      <c r="P13" t="s">
        <v>83</v>
      </c>
      <c r="Q13" t="s">
        <v>84</v>
      </c>
      <c r="R13" t="s">
        <v>79</v>
      </c>
      <c r="S13">
        <v>0</v>
      </c>
      <c r="T13">
        <v>0</v>
      </c>
      <c r="U13" t="s">
        <v>79</v>
      </c>
      <c r="V13" t="s">
        <v>85</v>
      </c>
      <c r="W13" t="s">
        <v>87</v>
      </c>
      <c r="X13" t="s">
        <v>86</v>
      </c>
      <c r="Y13" t="s">
        <v>79</v>
      </c>
      <c r="Z13">
        <v>240</v>
      </c>
      <c r="AA13">
        <v>180</v>
      </c>
      <c r="AB13" t="s">
        <v>79</v>
      </c>
      <c r="AC13" t="s">
        <v>98</v>
      </c>
      <c r="AD13" t="s">
        <v>98</v>
      </c>
      <c r="AE13" t="s">
        <v>140</v>
      </c>
    </row>
    <row r="14" spans="1:32" x14ac:dyDescent="0.2">
      <c r="A14" t="s">
        <v>74</v>
      </c>
      <c r="B14" t="s">
        <v>75</v>
      </c>
      <c r="C14" t="s">
        <v>141</v>
      </c>
      <c r="D14" t="s">
        <v>142</v>
      </c>
      <c r="E14" t="s">
        <v>102</v>
      </c>
      <c r="F14">
        <v>1.75</v>
      </c>
      <c r="H14" t="s">
        <v>79</v>
      </c>
      <c r="I14">
        <v>3000</v>
      </c>
      <c r="J14">
        <v>0</v>
      </c>
      <c r="K14">
        <v>1500</v>
      </c>
      <c r="L14" t="s">
        <v>79</v>
      </c>
      <c r="M14" t="s">
        <v>80</v>
      </c>
      <c r="N14" t="s">
        <v>143</v>
      </c>
      <c r="O14" t="s">
        <v>82</v>
      </c>
      <c r="P14" t="s">
        <v>83</v>
      </c>
      <c r="Q14" t="s">
        <v>84</v>
      </c>
      <c r="R14" t="s">
        <v>79</v>
      </c>
      <c r="S14">
        <v>0</v>
      </c>
      <c r="T14">
        <v>0</v>
      </c>
      <c r="U14" t="s">
        <v>79</v>
      </c>
      <c r="V14" t="s">
        <v>85</v>
      </c>
      <c r="W14" t="s">
        <v>87</v>
      </c>
      <c r="X14" t="s">
        <v>87</v>
      </c>
      <c r="Y14" t="s">
        <v>79</v>
      </c>
      <c r="Z14">
        <v>240</v>
      </c>
      <c r="AA14">
        <v>180</v>
      </c>
      <c r="AB14" t="s">
        <v>79</v>
      </c>
      <c r="AC14" t="s">
        <v>79</v>
      </c>
      <c r="AD14" t="s">
        <v>82</v>
      </c>
      <c r="AE14" t="s">
        <v>144</v>
      </c>
    </row>
    <row r="15" spans="1:32" x14ac:dyDescent="0.2">
      <c r="A15" t="s">
        <v>74</v>
      </c>
      <c r="B15" t="s">
        <v>75</v>
      </c>
      <c r="C15" t="s">
        <v>145</v>
      </c>
      <c r="D15" t="s">
        <v>146</v>
      </c>
      <c r="E15" t="s">
        <v>147</v>
      </c>
      <c r="F15">
        <v>1.75</v>
      </c>
      <c r="H15" t="s">
        <v>79</v>
      </c>
      <c r="I15">
        <v>3000</v>
      </c>
      <c r="J15">
        <v>0</v>
      </c>
      <c r="K15">
        <v>1500</v>
      </c>
      <c r="L15" t="s">
        <v>79</v>
      </c>
      <c r="M15" t="s">
        <v>80</v>
      </c>
      <c r="N15" t="s">
        <v>148</v>
      </c>
      <c r="O15" t="s">
        <v>82</v>
      </c>
      <c r="P15" t="s">
        <v>83</v>
      </c>
      <c r="Q15" t="s">
        <v>84</v>
      </c>
      <c r="R15" t="s">
        <v>79</v>
      </c>
      <c r="S15">
        <v>0</v>
      </c>
      <c r="T15">
        <v>0</v>
      </c>
      <c r="U15" t="s">
        <v>79</v>
      </c>
      <c r="V15" t="s">
        <v>85</v>
      </c>
      <c r="W15" t="s">
        <v>87</v>
      </c>
      <c r="X15" t="s">
        <v>86</v>
      </c>
      <c r="Y15" t="s">
        <v>79</v>
      </c>
      <c r="Z15">
        <v>240</v>
      </c>
      <c r="AA15">
        <v>180</v>
      </c>
      <c r="AB15" t="s">
        <v>79</v>
      </c>
      <c r="AC15" t="s">
        <v>79</v>
      </c>
      <c r="AD15" t="s">
        <v>82</v>
      </c>
      <c r="AE15" t="s">
        <v>149</v>
      </c>
    </row>
    <row r="16" spans="1:32" x14ac:dyDescent="0.2">
      <c r="A16" t="s">
        <v>74</v>
      </c>
      <c r="B16" t="s">
        <v>75</v>
      </c>
      <c r="C16" t="s">
        <v>150</v>
      </c>
      <c r="D16" t="s">
        <v>151</v>
      </c>
      <c r="E16" t="s">
        <v>138</v>
      </c>
      <c r="F16">
        <v>1.75</v>
      </c>
      <c r="H16" t="s">
        <v>79</v>
      </c>
      <c r="I16">
        <v>3000</v>
      </c>
      <c r="J16">
        <v>0</v>
      </c>
      <c r="K16">
        <v>1500</v>
      </c>
      <c r="L16" t="s">
        <v>79</v>
      </c>
      <c r="M16" t="s">
        <v>80</v>
      </c>
      <c r="N16" t="s">
        <v>139</v>
      </c>
      <c r="O16" t="s">
        <v>79</v>
      </c>
      <c r="P16" t="s">
        <v>83</v>
      </c>
      <c r="Q16" t="s">
        <v>84</v>
      </c>
      <c r="R16" t="s">
        <v>79</v>
      </c>
      <c r="S16">
        <v>0</v>
      </c>
      <c r="T16">
        <v>0</v>
      </c>
      <c r="U16" t="s">
        <v>79</v>
      </c>
      <c r="V16" t="s">
        <v>85</v>
      </c>
      <c r="W16" t="s">
        <v>87</v>
      </c>
      <c r="X16" t="s">
        <v>86</v>
      </c>
      <c r="Y16" t="s">
        <v>79</v>
      </c>
      <c r="Z16">
        <v>240</v>
      </c>
      <c r="AA16">
        <v>180</v>
      </c>
      <c r="AB16" t="s">
        <v>79</v>
      </c>
      <c r="AC16" t="s">
        <v>98</v>
      </c>
      <c r="AD16" t="s">
        <v>98</v>
      </c>
      <c r="AE16" t="s">
        <v>152</v>
      </c>
    </row>
    <row r="17" spans="1:31" x14ac:dyDescent="0.2">
      <c r="A17" t="s">
        <v>74</v>
      </c>
      <c r="B17" t="s">
        <v>75</v>
      </c>
      <c r="C17" t="s">
        <v>153</v>
      </c>
      <c r="D17" t="s">
        <v>154</v>
      </c>
      <c r="E17" t="s">
        <v>155</v>
      </c>
      <c r="F17">
        <v>1.75</v>
      </c>
      <c r="H17" t="s">
        <v>79</v>
      </c>
      <c r="I17">
        <v>3000</v>
      </c>
      <c r="J17">
        <v>5040</v>
      </c>
      <c r="K17">
        <v>6950</v>
      </c>
      <c r="L17" t="s">
        <v>82</v>
      </c>
      <c r="M17" t="s">
        <v>80</v>
      </c>
      <c r="N17" t="s">
        <v>156</v>
      </c>
      <c r="O17" t="s">
        <v>82</v>
      </c>
      <c r="P17" t="s">
        <v>83</v>
      </c>
      <c r="Q17" t="s">
        <v>84</v>
      </c>
      <c r="R17" t="s">
        <v>79</v>
      </c>
      <c r="S17">
        <v>0</v>
      </c>
      <c r="T17">
        <v>0</v>
      </c>
      <c r="U17" t="s">
        <v>79</v>
      </c>
      <c r="V17" t="s">
        <v>85</v>
      </c>
      <c r="W17" t="s">
        <v>86</v>
      </c>
      <c r="X17" t="s">
        <v>86</v>
      </c>
      <c r="Y17" t="s">
        <v>82</v>
      </c>
      <c r="Z17">
        <v>240</v>
      </c>
      <c r="AA17">
        <v>180</v>
      </c>
      <c r="AB17" t="s">
        <v>79</v>
      </c>
      <c r="AC17" t="s">
        <v>79</v>
      </c>
      <c r="AD17" t="s">
        <v>82</v>
      </c>
      <c r="AE17" t="s">
        <v>157</v>
      </c>
    </row>
    <row r="18" spans="1:31" x14ac:dyDescent="0.2">
      <c r="A18" t="s">
        <v>74</v>
      </c>
      <c r="B18" t="s">
        <v>75</v>
      </c>
      <c r="C18" t="s">
        <v>158</v>
      </c>
      <c r="D18" t="s">
        <v>159</v>
      </c>
      <c r="E18" t="s">
        <v>155</v>
      </c>
      <c r="F18">
        <v>1.75</v>
      </c>
      <c r="H18" t="s">
        <v>79</v>
      </c>
      <c r="I18">
        <v>3000</v>
      </c>
      <c r="J18">
        <v>4500</v>
      </c>
      <c r="K18">
        <v>5450</v>
      </c>
      <c r="L18" t="s">
        <v>82</v>
      </c>
      <c r="M18" t="s">
        <v>80</v>
      </c>
      <c r="N18" t="s">
        <v>156</v>
      </c>
      <c r="O18" t="s">
        <v>82</v>
      </c>
      <c r="P18" t="s">
        <v>83</v>
      </c>
      <c r="Q18" t="s">
        <v>84</v>
      </c>
      <c r="R18" t="s">
        <v>79</v>
      </c>
      <c r="S18">
        <v>0</v>
      </c>
      <c r="T18">
        <v>0</v>
      </c>
      <c r="U18" t="s">
        <v>79</v>
      </c>
      <c r="V18" t="s">
        <v>85</v>
      </c>
      <c r="W18" t="s">
        <v>86</v>
      </c>
      <c r="X18" t="s">
        <v>86</v>
      </c>
      <c r="Y18" t="s">
        <v>82</v>
      </c>
      <c r="Z18">
        <v>240</v>
      </c>
      <c r="AA18">
        <v>180</v>
      </c>
      <c r="AB18" t="s">
        <v>79</v>
      </c>
      <c r="AC18" t="s">
        <v>79</v>
      </c>
      <c r="AD18" t="s">
        <v>82</v>
      </c>
      <c r="AE18" t="s">
        <v>160</v>
      </c>
    </row>
    <row r="19" spans="1:31" x14ac:dyDescent="0.2">
      <c r="A19" t="s">
        <v>74</v>
      </c>
      <c r="B19" t="s">
        <v>75</v>
      </c>
      <c r="C19" t="s">
        <v>161</v>
      </c>
      <c r="D19" t="s">
        <v>162</v>
      </c>
      <c r="E19" t="s">
        <v>130</v>
      </c>
      <c r="F19">
        <v>1.75</v>
      </c>
      <c r="G19">
        <v>2.5</v>
      </c>
      <c r="H19" t="s">
        <v>79</v>
      </c>
      <c r="I19">
        <v>3000</v>
      </c>
      <c r="J19">
        <v>0</v>
      </c>
      <c r="K19">
        <v>1500</v>
      </c>
      <c r="L19" t="s">
        <v>79</v>
      </c>
      <c r="M19" t="s">
        <v>80</v>
      </c>
      <c r="N19" t="s">
        <v>131</v>
      </c>
      <c r="O19" t="s">
        <v>82</v>
      </c>
      <c r="P19" t="s">
        <v>83</v>
      </c>
      <c r="Q19" t="s">
        <v>84</v>
      </c>
      <c r="R19" t="s">
        <v>79</v>
      </c>
      <c r="S19">
        <v>0</v>
      </c>
      <c r="T19">
        <v>0</v>
      </c>
      <c r="U19" t="s">
        <v>79</v>
      </c>
      <c r="V19" t="s">
        <v>85</v>
      </c>
      <c r="W19" t="s">
        <v>87</v>
      </c>
      <c r="X19" t="s">
        <v>86</v>
      </c>
      <c r="Y19" t="s">
        <v>79</v>
      </c>
      <c r="Z19">
        <v>240</v>
      </c>
      <c r="AA19">
        <v>180</v>
      </c>
      <c r="AB19" t="s">
        <v>79</v>
      </c>
      <c r="AC19" t="s">
        <v>79</v>
      </c>
      <c r="AD19" t="s">
        <v>82</v>
      </c>
      <c r="AE19" t="s">
        <v>132</v>
      </c>
    </row>
    <row r="20" spans="1:31" x14ac:dyDescent="0.2">
      <c r="A20" t="s">
        <v>74</v>
      </c>
      <c r="B20" t="s">
        <v>75</v>
      </c>
      <c r="C20" t="s">
        <v>163</v>
      </c>
      <c r="D20" t="s">
        <v>164</v>
      </c>
      <c r="E20" t="s">
        <v>130</v>
      </c>
      <c r="F20">
        <v>1.75</v>
      </c>
      <c r="H20" t="s">
        <v>79</v>
      </c>
      <c r="I20">
        <v>3000</v>
      </c>
      <c r="J20">
        <v>0</v>
      </c>
      <c r="K20">
        <v>1500</v>
      </c>
      <c r="L20" t="s">
        <v>79</v>
      </c>
      <c r="M20" t="s">
        <v>80</v>
      </c>
      <c r="N20" t="s">
        <v>131</v>
      </c>
      <c r="O20" t="s">
        <v>82</v>
      </c>
      <c r="P20" t="s">
        <v>83</v>
      </c>
      <c r="Q20" t="s">
        <v>84</v>
      </c>
      <c r="R20" t="s">
        <v>79</v>
      </c>
      <c r="S20">
        <v>0</v>
      </c>
      <c r="T20">
        <v>0</v>
      </c>
      <c r="U20" t="s">
        <v>79</v>
      </c>
      <c r="V20" t="s">
        <v>85</v>
      </c>
      <c r="W20" t="s">
        <v>87</v>
      </c>
      <c r="X20" t="s">
        <v>87</v>
      </c>
      <c r="Y20" t="s">
        <v>79</v>
      </c>
      <c r="Z20">
        <v>240</v>
      </c>
      <c r="AA20">
        <v>180</v>
      </c>
      <c r="AB20" t="s">
        <v>79</v>
      </c>
      <c r="AC20" t="s">
        <v>98</v>
      </c>
      <c r="AD20" t="s">
        <v>98</v>
      </c>
      <c r="AE20" t="s">
        <v>165</v>
      </c>
    </row>
    <row r="21" spans="1:31" x14ac:dyDescent="0.2">
      <c r="A21" t="s">
        <v>74</v>
      </c>
      <c r="B21" t="s">
        <v>75</v>
      </c>
      <c r="C21" t="s">
        <v>166</v>
      </c>
      <c r="D21" t="s">
        <v>167</v>
      </c>
      <c r="E21" t="s">
        <v>168</v>
      </c>
      <c r="F21">
        <v>1.75</v>
      </c>
      <c r="G21">
        <v>2.5</v>
      </c>
      <c r="H21" t="s">
        <v>79</v>
      </c>
      <c r="I21">
        <v>3000</v>
      </c>
      <c r="J21">
        <v>0</v>
      </c>
      <c r="K21">
        <v>1500</v>
      </c>
      <c r="L21" t="s">
        <v>79</v>
      </c>
      <c r="M21" t="s">
        <v>80</v>
      </c>
      <c r="N21" t="s">
        <v>169</v>
      </c>
      <c r="O21" t="s">
        <v>82</v>
      </c>
      <c r="P21" t="s">
        <v>83</v>
      </c>
      <c r="Q21" t="s">
        <v>84</v>
      </c>
      <c r="R21" t="s">
        <v>79</v>
      </c>
      <c r="S21">
        <v>0</v>
      </c>
      <c r="T21">
        <v>0</v>
      </c>
      <c r="U21" t="s">
        <v>79</v>
      </c>
      <c r="V21" t="s">
        <v>85</v>
      </c>
      <c r="W21" t="s">
        <v>87</v>
      </c>
      <c r="X21" t="s">
        <v>86</v>
      </c>
      <c r="Y21" t="s">
        <v>79</v>
      </c>
      <c r="Z21">
        <v>240</v>
      </c>
      <c r="AA21">
        <v>180</v>
      </c>
      <c r="AB21" t="s">
        <v>79</v>
      </c>
      <c r="AC21" t="s">
        <v>98</v>
      </c>
      <c r="AD21" t="s">
        <v>98</v>
      </c>
      <c r="AE21" t="s">
        <v>170</v>
      </c>
    </row>
    <row r="22" spans="1:31" x14ac:dyDescent="0.2">
      <c r="A22" t="s">
        <v>171</v>
      </c>
      <c r="B22" t="s">
        <v>172</v>
      </c>
      <c r="C22" t="s">
        <v>76</v>
      </c>
      <c r="D22" t="s">
        <v>77</v>
      </c>
      <c r="E22" t="s">
        <v>78</v>
      </c>
      <c r="F22">
        <v>2.25</v>
      </c>
      <c r="H22" t="s">
        <v>79</v>
      </c>
      <c r="I22">
        <v>5000</v>
      </c>
      <c r="J22">
        <v>750</v>
      </c>
      <c r="K22">
        <v>1500</v>
      </c>
      <c r="L22" t="s">
        <v>79</v>
      </c>
      <c r="M22" t="s">
        <v>173</v>
      </c>
      <c r="N22" t="s">
        <v>81</v>
      </c>
      <c r="O22" t="s">
        <v>79</v>
      </c>
      <c r="P22" t="s">
        <v>174</v>
      </c>
      <c r="Q22" t="s">
        <v>84</v>
      </c>
      <c r="R22" t="s">
        <v>79</v>
      </c>
      <c r="S22">
        <v>18</v>
      </c>
      <c r="T22">
        <v>0</v>
      </c>
      <c r="U22" t="s">
        <v>79</v>
      </c>
      <c r="V22" t="s">
        <v>85</v>
      </c>
      <c r="W22" t="s">
        <v>86</v>
      </c>
      <c r="X22" t="s">
        <v>87</v>
      </c>
      <c r="Y22" t="s">
        <v>82</v>
      </c>
      <c r="Z22">
        <v>180</v>
      </c>
      <c r="AA22">
        <v>180</v>
      </c>
      <c r="AB22" t="s">
        <v>79</v>
      </c>
      <c r="AC22" t="s">
        <v>79</v>
      </c>
      <c r="AD22" t="s">
        <v>82</v>
      </c>
      <c r="AE22" t="s">
        <v>175</v>
      </c>
    </row>
    <row r="23" spans="1:31" x14ac:dyDescent="0.2">
      <c r="A23" t="s">
        <v>171</v>
      </c>
      <c r="B23" t="s">
        <v>172</v>
      </c>
      <c r="C23" t="s">
        <v>89</v>
      </c>
      <c r="D23" t="s">
        <v>90</v>
      </c>
      <c r="E23" t="s">
        <v>91</v>
      </c>
      <c r="F23">
        <v>2.25</v>
      </c>
      <c r="H23" t="s">
        <v>79</v>
      </c>
      <c r="I23">
        <v>5000</v>
      </c>
      <c r="J23">
        <v>0</v>
      </c>
      <c r="K23">
        <v>1500</v>
      </c>
      <c r="L23" t="s">
        <v>79</v>
      </c>
      <c r="M23" t="s">
        <v>173</v>
      </c>
      <c r="N23" t="s">
        <v>92</v>
      </c>
      <c r="O23" t="s">
        <v>79</v>
      </c>
      <c r="P23" t="s">
        <v>174</v>
      </c>
      <c r="Q23" t="s">
        <v>84</v>
      </c>
      <c r="R23" t="s">
        <v>79</v>
      </c>
      <c r="S23">
        <v>18</v>
      </c>
      <c r="T23">
        <v>0</v>
      </c>
      <c r="U23" t="s">
        <v>79</v>
      </c>
      <c r="V23" t="s">
        <v>85</v>
      </c>
      <c r="W23" t="s">
        <v>87</v>
      </c>
      <c r="X23" t="s">
        <v>87</v>
      </c>
      <c r="Y23" t="s">
        <v>79</v>
      </c>
      <c r="Z23">
        <v>180</v>
      </c>
      <c r="AA23">
        <v>180</v>
      </c>
      <c r="AB23" t="s">
        <v>79</v>
      </c>
      <c r="AC23" t="s">
        <v>79</v>
      </c>
      <c r="AD23" t="s">
        <v>79</v>
      </c>
      <c r="AE23" t="s">
        <v>176</v>
      </c>
    </row>
    <row r="24" spans="1:31" x14ac:dyDescent="0.2">
      <c r="A24" t="s">
        <v>171</v>
      </c>
      <c r="B24" t="s">
        <v>172</v>
      </c>
      <c r="C24" t="s">
        <v>94</v>
      </c>
      <c r="D24" t="s">
        <v>95</v>
      </c>
      <c r="E24" t="s">
        <v>96</v>
      </c>
      <c r="F24">
        <v>2.25</v>
      </c>
      <c r="G24">
        <v>2.5</v>
      </c>
      <c r="H24" t="s">
        <v>79</v>
      </c>
      <c r="I24">
        <v>5000</v>
      </c>
      <c r="J24">
        <v>0</v>
      </c>
      <c r="K24">
        <v>1500</v>
      </c>
      <c r="L24" t="s">
        <v>79</v>
      </c>
      <c r="M24" t="s">
        <v>173</v>
      </c>
      <c r="N24" t="s">
        <v>97</v>
      </c>
      <c r="O24" t="s">
        <v>79</v>
      </c>
      <c r="P24" t="s">
        <v>174</v>
      </c>
      <c r="Q24" t="s">
        <v>84</v>
      </c>
      <c r="R24" t="s">
        <v>79</v>
      </c>
      <c r="S24">
        <v>18</v>
      </c>
      <c r="T24">
        <v>0</v>
      </c>
      <c r="U24" t="s">
        <v>79</v>
      </c>
      <c r="V24" t="s">
        <v>85</v>
      </c>
      <c r="W24" t="s">
        <v>87</v>
      </c>
      <c r="X24" t="s">
        <v>86</v>
      </c>
      <c r="Y24" t="s">
        <v>79</v>
      </c>
      <c r="Z24">
        <v>180</v>
      </c>
      <c r="AA24">
        <v>180</v>
      </c>
      <c r="AB24" t="s">
        <v>79</v>
      </c>
      <c r="AC24" t="s">
        <v>98</v>
      </c>
      <c r="AD24" t="s">
        <v>98</v>
      </c>
      <c r="AE24" t="s">
        <v>177</v>
      </c>
    </row>
    <row r="25" spans="1:31" x14ac:dyDescent="0.2">
      <c r="A25" t="s">
        <v>171</v>
      </c>
      <c r="B25" t="s">
        <v>172</v>
      </c>
      <c r="C25" t="s">
        <v>100</v>
      </c>
      <c r="D25" t="s">
        <v>101</v>
      </c>
      <c r="E25" t="s">
        <v>102</v>
      </c>
      <c r="F25">
        <v>2.25</v>
      </c>
      <c r="H25" t="s">
        <v>79</v>
      </c>
      <c r="I25">
        <v>5000</v>
      </c>
      <c r="J25">
        <v>0</v>
      </c>
      <c r="K25">
        <v>1500</v>
      </c>
      <c r="L25" t="s">
        <v>79</v>
      </c>
      <c r="M25" t="s">
        <v>173</v>
      </c>
      <c r="N25" t="s">
        <v>103</v>
      </c>
      <c r="O25" t="s">
        <v>79</v>
      </c>
      <c r="P25" t="s">
        <v>174</v>
      </c>
      <c r="Q25" t="s">
        <v>84</v>
      </c>
      <c r="R25" t="s">
        <v>79</v>
      </c>
      <c r="S25">
        <v>18</v>
      </c>
      <c r="T25">
        <v>0</v>
      </c>
      <c r="U25" t="s">
        <v>79</v>
      </c>
      <c r="V25" t="s">
        <v>85</v>
      </c>
      <c r="W25" t="s">
        <v>87</v>
      </c>
      <c r="X25" t="s">
        <v>87</v>
      </c>
      <c r="Y25" t="s">
        <v>79</v>
      </c>
      <c r="Z25">
        <v>180</v>
      </c>
      <c r="AA25">
        <v>180</v>
      </c>
      <c r="AB25" t="s">
        <v>79</v>
      </c>
      <c r="AC25" t="s">
        <v>79</v>
      </c>
      <c r="AD25" t="s">
        <v>79</v>
      </c>
      <c r="AE25" t="s">
        <v>176</v>
      </c>
    </row>
    <row r="26" spans="1:31" x14ac:dyDescent="0.2">
      <c r="A26" t="s">
        <v>171</v>
      </c>
      <c r="B26" t="s">
        <v>172</v>
      </c>
      <c r="C26" t="s">
        <v>105</v>
      </c>
      <c r="D26" t="s">
        <v>106</v>
      </c>
      <c r="E26" t="s">
        <v>107</v>
      </c>
      <c r="F26">
        <v>2.25</v>
      </c>
      <c r="G26">
        <v>2.5</v>
      </c>
      <c r="H26" t="s">
        <v>79</v>
      </c>
      <c r="I26">
        <v>5000</v>
      </c>
      <c r="J26">
        <v>0</v>
      </c>
      <c r="K26">
        <v>1500</v>
      </c>
      <c r="L26" t="s">
        <v>79</v>
      </c>
      <c r="M26" t="s">
        <v>173</v>
      </c>
      <c r="N26" t="s">
        <v>108</v>
      </c>
      <c r="O26" t="s">
        <v>79</v>
      </c>
      <c r="P26" t="s">
        <v>174</v>
      </c>
      <c r="Q26" t="s">
        <v>84</v>
      </c>
      <c r="R26" t="s">
        <v>79</v>
      </c>
      <c r="S26">
        <v>18</v>
      </c>
      <c r="T26">
        <v>0</v>
      </c>
      <c r="U26" t="s">
        <v>79</v>
      </c>
      <c r="V26" t="s">
        <v>85</v>
      </c>
      <c r="W26" t="s">
        <v>87</v>
      </c>
      <c r="X26" t="s">
        <v>86</v>
      </c>
      <c r="Y26" t="s">
        <v>79</v>
      </c>
      <c r="Z26">
        <v>180</v>
      </c>
      <c r="AA26">
        <v>180</v>
      </c>
      <c r="AB26" t="s">
        <v>79</v>
      </c>
      <c r="AC26" t="s">
        <v>79</v>
      </c>
      <c r="AD26" t="s">
        <v>79</v>
      </c>
      <c r="AE26" t="s">
        <v>176</v>
      </c>
    </row>
    <row r="27" spans="1:31" x14ac:dyDescent="0.2">
      <c r="A27" t="s">
        <v>171</v>
      </c>
      <c r="B27" t="s">
        <v>172</v>
      </c>
      <c r="C27" t="s">
        <v>110</v>
      </c>
      <c r="D27" t="s">
        <v>111</v>
      </c>
      <c r="E27" t="s">
        <v>112</v>
      </c>
      <c r="F27">
        <v>2.25</v>
      </c>
      <c r="H27" t="s">
        <v>79</v>
      </c>
      <c r="I27">
        <v>5000</v>
      </c>
      <c r="J27">
        <v>7300</v>
      </c>
      <c r="K27">
        <v>1500</v>
      </c>
      <c r="L27" t="s">
        <v>79</v>
      </c>
      <c r="M27" t="s">
        <v>173</v>
      </c>
      <c r="N27" t="s">
        <v>113</v>
      </c>
      <c r="O27" t="s">
        <v>79</v>
      </c>
      <c r="P27" t="s">
        <v>174</v>
      </c>
      <c r="Q27" t="s">
        <v>114</v>
      </c>
      <c r="R27" t="s">
        <v>79</v>
      </c>
      <c r="S27">
        <v>18</v>
      </c>
      <c r="T27">
        <v>0</v>
      </c>
      <c r="U27" t="s">
        <v>79</v>
      </c>
      <c r="V27" t="s">
        <v>85</v>
      </c>
      <c r="W27" t="s">
        <v>86</v>
      </c>
      <c r="X27" t="s">
        <v>86</v>
      </c>
      <c r="Y27" t="s">
        <v>82</v>
      </c>
      <c r="Z27">
        <v>180</v>
      </c>
      <c r="AA27">
        <v>180</v>
      </c>
      <c r="AB27" t="s">
        <v>79</v>
      </c>
      <c r="AC27" t="s">
        <v>79</v>
      </c>
      <c r="AD27" t="s">
        <v>82</v>
      </c>
      <c r="AE27" t="s">
        <v>175</v>
      </c>
    </row>
    <row r="28" spans="1:31" x14ac:dyDescent="0.2">
      <c r="A28" t="s">
        <v>171</v>
      </c>
      <c r="B28" t="s">
        <v>172</v>
      </c>
      <c r="C28" t="s">
        <v>116</v>
      </c>
      <c r="D28" t="s">
        <v>117</v>
      </c>
      <c r="E28" t="s">
        <v>107</v>
      </c>
      <c r="F28">
        <v>2.25</v>
      </c>
      <c r="G28">
        <v>2.5</v>
      </c>
      <c r="H28" t="s">
        <v>79</v>
      </c>
      <c r="I28">
        <v>5000</v>
      </c>
      <c r="J28">
        <v>0</v>
      </c>
      <c r="K28">
        <v>1500</v>
      </c>
      <c r="L28" t="s">
        <v>79</v>
      </c>
      <c r="M28" t="s">
        <v>173</v>
      </c>
      <c r="N28" t="s">
        <v>108</v>
      </c>
      <c r="O28" t="s">
        <v>79</v>
      </c>
      <c r="P28" t="s">
        <v>174</v>
      </c>
      <c r="Q28" t="s">
        <v>84</v>
      </c>
      <c r="R28" t="s">
        <v>79</v>
      </c>
      <c r="S28">
        <v>18</v>
      </c>
      <c r="T28">
        <v>0</v>
      </c>
      <c r="U28" t="s">
        <v>79</v>
      </c>
      <c r="V28" t="s">
        <v>85</v>
      </c>
      <c r="W28" t="s">
        <v>87</v>
      </c>
      <c r="X28" t="s">
        <v>87</v>
      </c>
      <c r="Y28" t="s">
        <v>79</v>
      </c>
      <c r="Z28">
        <v>180</v>
      </c>
      <c r="AA28">
        <v>180</v>
      </c>
      <c r="AB28" t="s">
        <v>79</v>
      </c>
      <c r="AC28" t="s">
        <v>79</v>
      </c>
      <c r="AD28" t="s">
        <v>79</v>
      </c>
      <c r="AE28" t="s">
        <v>176</v>
      </c>
    </row>
    <row r="29" spans="1:31" x14ac:dyDescent="0.2">
      <c r="A29" t="s">
        <v>171</v>
      </c>
      <c r="B29" t="s">
        <v>172</v>
      </c>
      <c r="C29" t="s">
        <v>118</v>
      </c>
      <c r="D29" t="s">
        <v>119</v>
      </c>
      <c r="E29" t="s">
        <v>120</v>
      </c>
      <c r="F29">
        <v>2.25</v>
      </c>
      <c r="H29" t="s">
        <v>79</v>
      </c>
      <c r="I29">
        <v>5000</v>
      </c>
      <c r="J29">
        <v>0</v>
      </c>
      <c r="K29">
        <v>1500</v>
      </c>
      <c r="L29" t="s">
        <v>79</v>
      </c>
      <c r="M29" t="s">
        <v>173</v>
      </c>
      <c r="N29" t="s">
        <v>121</v>
      </c>
      <c r="O29" t="s">
        <v>79</v>
      </c>
      <c r="P29" t="s">
        <v>174</v>
      </c>
      <c r="Q29" t="s">
        <v>84</v>
      </c>
      <c r="R29" t="s">
        <v>79</v>
      </c>
      <c r="S29">
        <v>18</v>
      </c>
      <c r="T29">
        <v>0</v>
      </c>
      <c r="U29" t="s">
        <v>79</v>
      </c>
      <c r="V29" t="s">
        <v>85</v>
      </c>
      <c r="W29" t="s">
        <v>87</v>
      </c>
      <c r="X29" t="s">
        <v>87</v>
      </c>
      <c r="Y29" t="s">
        <v>79</v>
      </c>
      <c r="Z29">
        <v>180</v>
      </c>
      <c r="AA29">
        <v>180</v>
      </c>
      <c r="AB29" t="s">
        <v>79</v>
      </c>
      <c r="AC29" t="s">
        <v>79</v>
      </c>
      <c r="AD29" t="s">
        <v>79</v>
      </c>
      <c r="AE29" t="s">
        <v>176</v>
      </c>
    </row>
    <row r="30" spans="1:31" x14ac:dyDescent="0.2">
      <c r="A30" t="s">
        <v>171</v>
      </c>
      <c r="B30" t="s">
        <v>172</v>
      </c>
      <c r="C30" t="s">
        <v>123</v>
      </c>
      <c r="D30" t="s">
        <v>124</v>
      </c>
      <c r="E30" t="s">
        <v>125</v>
      </c>
      <c r="F30">
        <v>2.25</v>
      </c>
      <c r="H30" t="s">
        <v>79</v>
      </c>
      <c r="I30">
        <v>5000</v>
      </c>
      <c r="J30">
        <v>0</v>
      </c>
      <c r="K30">
        <v>1500</v>
      </c>
      <c r="L30" t="s">
        <v>79</v>
      </c>
      <c r="M30" t="s">
        <v>173</v>
      </c>
      <c r="N30" t="s">
        <v>126</v>
      </c>
      <c r="O30" t="s">
        <v>79</v>
      </c>
      <c r="P30" t="s">
        <v>174</v>
      </c>
      <c r="Q30" t="s">
        <v>84</v>
      </c>
      <c r="R30" t="s">
        <v>79</v>
      </c>
      <c r="S30">
        <v>18</v>
      </c>
      <c r="T30">
        <v>0</v>
      </c>
      <c r="U30" t="s">
        <v>79</v>
      </c>
      <c r="V30" t="s">
        <v>85</v>
      </c>
      <c r="W30" t="s">
        <v>87</v>
      </c>
      <c r="X30" t="s">
        <v>87</v>
      </c>
      <c r="Y30" t="s">
        <v>79</v>
      </c>
      <c r="Z30">
        <v>180</v>
      </c>
      <c r="AA30">
        <v>180</v>
      </c>
      <c r="AB30" t="s">
        <v>79</v>
      </c>
      <c r="AC30" t="s">
        <v>79</v>
      </c>
      <c r="AD30" t="s">
        <v>79</v>
      </c>
      <c r="AE30" t="s">
        <v>176</v>
      </c>
    </row>
    <row r="31" spans="1:31" x14ac:dyDescent="0.2">
      <c r="A31" t="s">
        <v>171</v>
      </c>
      <c r="B31" t="s">
        <v>172</v>
      </c>
      <c r="C31" t="s">
        <v>128</v>
      </c>
      <c r="D31" t="s">
        <v>129</v>
      </c>
      <c r="E31" t="s">
        <v>130</v>
      </c>
      <c r="F31">
        <v>2.25</v>
      </c>
      <c r="G31">
        <v>2.5</v>
      </c>
      <c r="H31" t="s">
        <v>79</v>
      </c>
      <c r="I31">
        <v>5000</v>
      </c>
      <c r="J31">
        <v>0</v>
      </c>
      <c r="K31">
        <v>1500</v>
      </c>
      <c r="L31" t="s">
        <v>79</v>
      </c>
      <c r="M31" t="s">
        <v>173</v>
      </c>
      <c r="N31" t="s">
        <v>131</v>
      </c>
      <c r="O31" t="s">
        <v>79</v>
      </c>
      <c r="P31" t="s">
        <v>174</v>
      </c>
      <c r="Q31" t="s">
        <v>84</v>
      </c>
      <c r="R31" t="s">
        <v>79</v>
      </c>
      <c r="S31">
        <v>18</v>
      </c>
      <c r="T31">
        <v>0</v>
      </c>
      <c r="U31" t="s">
        <v>79</v>
      </c>
      <c r="V31" t="s">
        <v>85</v>
      </c>
      <c r="W31" t="s">
        <v>87</v>
      </c>
      <c r="X31" t="s">
        <v>86</v>
      </c>
      <c r="Y31" t="s">
        <v>79</v>
      </c>
      <c r="Z31">
        <v>180</v>
      </c>
      <c r="AA31">
        <v>180</v>
      </c>
      <c r="AB31" t="s">
        <v>79</v>
      </c>
      <c r="AC31" t="s">
        <v>79</v>
      </c>
      <c r="AD31" t="s">
        <v>79</v>
      </c>
      <c r="AE31" t="s">
        <v>176</v>
      </c>
    </row>
    <row r="32" spans="1:31" x14ac:dyDescent="0.2">
      <c r="A32" t="s">
        <v>171</v>
      </c>
      <c r="B32" t="s">
        <v>172</v>
      </c>
      <c r="C32" t="s">
        <v>133</v>
      </c>
      <c r="D32" t="s">
        <v>134</v>
      </c>
      <c r="E32" t="s">
        <v>120</v>
      </c>
      <c r="F32">
        <v>2.25</v>
      </c>
      <c r="G32">
        <v>3</v>
      </c>
      <c r="H32" t="s">
        <v>79</v>
      </c>
      <c r="I32">
        <v>5000</v>
      </c>
      <c r="J32">
        <v>0</v>
      </c>
      <c r="K32">
        <v>1500</v>
      </c>
      <c r="L32" t="s">
        <v>79</v>
      </c>
      <c r="M32" t="s">
        <v>173</v>
      </c>
      <c r="N32" t="s">
        <v>121</v>
      </c>
      <c r="O32" t="s">
        <v>79</v>
      </c>
      <c r="P32" t="s">
        <v>174</v>
      </c>
      <c r="Q32" t="s">
        <v>84</v>
      </c>
      <c r="R32" t="s">
        <v>79</v>
      </c>
      <c r="S32">
        <v>18</v>
      </c>
      <c r="T32">
        <v>0</v>
      </c>
      <c r="U32" t="s">
        <v>79</v>
      </c>
      <c r="V32" t="s">
        <v>85</v>
      </c>
      <c r="W32" t="s">
        <v>87</v>
      </c>
      <c r="X32" t="s">
        <v>87</v>
      </c>
      <c r="Y32" t="s">
        <v>79</v>
      </c>
      <c r="Z32">
        <v>180</v>
      </c>
      <c r="AA32">
        <v>180</v>
      </c>
      <c r="AB32" t="s">
        <v>79</v>
      </c>
      <c r="AC32" t="s">
        <v>98</v>
      </c>
      <c r="AD32" t="s">
        <v>98</v>
      </c>
      <c r="AE32" t="s">
        <v>178</v>
      </c>
    </row>
    <row r="33" spans="1:31" x14ac:dyDescent="0.2">
      <c r="A33" t="s">
        <v>171</v>
      </c>
      <c r="B33" t="s">
        <v>172</v>
      </c>
      <c r="C33" t="s">
        <v>136</v>
      </c>
      <c r="D33" t="s">
        <v>137</v>
      </c>
      <c r="E33" t="s">
        <v>138</v>
      </c>
      <c r="F33">
        <v>2.25</v>
      </c>
      <c r="H33" t="s">
        <v>79</v>
      </c>
      <c r="I33">
        <v>5000</v>
      </c>
      <c r="J33">
        <v>0</v>
      </c>
      <c r="K33">
        <v>1500</v>
      </c>
      <c r="L33" t="s">
        <v>79</v>
      </c>
      <c r="M33" t="s">
        <v>173</v>
      </c>
      <c r="N33" t="s">
        <v>139</v>
      </c>
      <c r="O33" t="s">
        <v>79</v>
      </c>
      <c r="P33" t="s">
        <v>174</v>
      </c>
      <c r="Q33" t="s">
        <v>84</v>
      </c>
      <c r="R33" t="s">
        <v>79</v>
      </c>
      <c r="S33">
        <v>18</v>
      </c>
      <c r="T33">
        <v>0</v>
      </c>
      <c r="U33" t="s">
        <v>79</v>
      </c>
      <c r="V33" t="s">
        <v>85</v>
      </c>
      <c r="W33" t="s">
        <v>87</v>
      </c>
      <c r="X33" t="s">
        <v>86</v>
      </c>
      <c r="Y33" t="s">
        <v>79</v>
      </c>
      <c r="Z33">
        <v>180</v>
      </c>
      <c r="AA33">
        <v>180</v>
      </c>
      <c r="AB33" t="s">
        <v>79</v>
      </c>
      <c r="AC33" t="s">
        <v>98</v>
      </c>
      <c r="AD33" t="s">
        <v>98</v>
      </c>
      <c r="AE33" t="s">
        <v>140</v>
      </c>
    </row>
    <row r="34" spans="1:31" x14ac:dyDescent="0.2">
      <c r="A34" t="s">
        <v>171</v>
      </c>
      <c r="B34" t="s">
        <v>172</v>
      </c>
      <c r="C34" t="s">
        <v>141</v>
      </c>
      <c r="D34" t="s">
        <v>142</v>
      </c>
      <c r="E34" t="s">
        <v>102</v>
      </c>
      <c r="F34">
        <v>2.25</v>
      </c>
      <c r="H34" t="s">
        <v>79</v>
      </c>
      <c r="I34">
        <v>5000</v>
      </c>
      <c r="J34">
        <v>0</v>
      </c>
      <c r="K34">
        <v>1500</v>
      </c>
      <c r="L34" t="s">
        <v>79</v>
      </c>
      <c r="M34" t="s">
        <v>173</v>
      </c>
      <c r="N34" t="s">
        <v>143</v>
      </c>
      <c r="O34" t="s">
        <v>79</v>
      </c>
      <c r="P34" t="s">
        <v>174</v>
      </c>
      <c r="Q34" t="s">
        <v>84</v>
      </c>
      <c r="R34" t="s">
        <v>79</v>
      </c>
      <c r="S34">
        <v>18</v>
      </c>
      <c r="T34">
        <v>0</v>
      </c>
      <c r="U34" t="s">
        <v>79</v>
      </c>
      <c r="V34" t="s">
        <v>85</v>
      </c>
      <c r="W34" t="s">
        <v>87</v>
      </c>
      <c r="X34" t="s">
        <v>87</v>
      </c>
      <c r="Y34" t="s">
        <v>79</v>
      </c>
      <c r="Z34">
        <v>180</v>
      </c>
      <c r="AA34">
        <v>180</v>
      </c>
      <c r="AB34" t="s">
        <v>79</v>
      </c>
      <c r="AC34" t="s">
        <v>79</v>
      </c>
      <c r="AD34" t="s">
        <v>79</v>
      </c>
      <c r="AE34" t="s">
        <v>176</v>
      </c>
    </row>
    <row r="35" spans="1:31" x14ac:dyDescent="0.2">
      <c r="A35" t="s">
        <v>171</v>
      </c>
      <c r="B35" t="s">
        <v>172</v>
      </c>
      <c r="C35" t="s">
        <v>145</v>
      </c>
      <c r="D35" t="s">
        <v>146</v>
      </c>
      <c r="E35" t="s">
        <v>147</v>
      </c>
      <c r="F35">
        <v>2.25</v>
      </c>
      <c r="H35" t="s">
        <v>79</v>
      </c>
      <c r="I35">
        <v>5000</v>
      </c>
      <c r="J35">
        <v>0</v>
      </c>
      <c r="K35">
        <v>1500</v>
      </c>
      <c r="L35" t="s">
        <v>79</v>
      </c>
      <c r="M35" t="s">
        <v>173</v>
      </c>
      <c r="N35" t="s">
        <v>148</v>
      </c>
      <c r="O35" t="s">
        <v>79</v>
      </c>
      <c r="P35" t="s">
        <v>174</v>
      </c>
      <c r="Q35" t="s">
        <v>84</v>
      </c>
      <c r="R35" t="s">
        <v>79</v>
      </c>
      <c r="S35">
        <v>18</v>
      </c>
      <c r="T35">
        <v>0</v>
      </c>
      <c r="U35" t="s">
        <v>79</v>
      </c>
      <c r="V35" t="s">
        <v>85</v>
      </c>
      <c r="W35" t="s">
        <v>87</v>
      </c>
      <c r="X35" t="s">
        <v>86</v>
      </c>
      <c r="Y35" t="s">
        <v>79</v>
      </c>
      <c r="Z35">
        <v>180</v>
      </c>
      <c r="AA35">
        <v>180</v>
      </c>
      <c r="AB35" t="s">
        <v>79</v>
      </c>
      <c r="AC35" t="s">
        <v>79</v>
      </c>
      <c r="AD35" t="s">
        <v>79</v>
      </c>
      <c r="AE35" t="s">
        <v>176</v>
      </c>
    </row>
    <row r="36" spans="1:31" x14ac:dyDescent="0.2">
      <c r="A36" t="s">
        <v>171</v>
      </c>
      <c r="B36" t="s">
        <v>172</v>
      </c>
      <c r="C36" t="s">
        <v>150</v>
      </c>
      <c r="D36" t="s">
        <v>151</v>
      </c>
      <c r="E36" t="s">
        <v>138</v>
      </c>
      <c r="F36">
        <v>2.25</v>
      </c>
      <c r="H36" t="s">
        <v>79</v>
      </c>
      <c r="I36">
        <v>5000</v>
      </c>
      <c r="J36">
        <v>0</v>
      </c>
      <c r="K36">
        <v>1500</v>
      </c>
      <c r="L36" t="s">
        <v>79</v>
      </c>
      <c r="M36" t="s">
        <v>173</v>
      </c>
      <c r="N36" t="s">
        <v>139</v>
      </c>
      <c r="O36" t="s">
        <v>79</v>
      </c>
      <c r="P36" t="s">
        <v>174</v>
      </c>
      <c r="Q36" t="s">
        <v>84</v>
      </c>
      <c r="R36" t="s">
        <v>79</v>
      </c>
      <c r="S36">
        <v>18</v>
      </c>
      <c r="T36">
        <v>0</v>
      </c>
      <c r="U36" t="s">
        <v>79</v>
      </c>
      <c r="V36" t="s">
        <v>85</v>
      </c>
      <c r="W36" t="s">
        <v>87</v>
      </c>
      <c r="X36" t="s">
        <v>86</v>
      </c>
      <c r="Y36" t="s">
        <v>79</v>
      </c>
      <c r="Z36">
        <v>180</v>
      </c>
      <c r="AA36">
        <v>180</v>
      </c>
      <c r="AB36" t="s">
        <v>79</v>
      </c>
      <c r="AC36" t="s">
        <v>98</v>
      </c>
      <c r="AD36" t="s">
        <v>98</v>
      </c>
      <c r="AE36" t="s">
        <v>152</v>
      </c>
    </row>
    <row r="37" spans="1:31" x14ac:dyDescent="0.2">
      <c r="A37" t="s">
        <v>171</v>
      </c>
      <c r="B37" t="s">
        <v>172</v>
      </c>
      <c r="C37" t="s">
        <v>153</v>
      </c>
      <c r="D37" t="s">
        <v>154</v>
      </c>
      <c r="E37" t="s">
        <v>155</v>
      </c>
      <c r="F37">
        <v>2.25</v>
      </c>
      <c r="H37" t="s">
        <v>79</v>
      </c>
      <c r="I37">
        <v>5000</v>
      </c>
      <c r="J37">
        <v>5040</v>
      </c>
      <c r="K37">
        <v>6950</v>
      </c>
      <c r="L37" t="s">
        <v>82</v>
      </c>
      <c r="M37" t="s">
        <v>173</v>
      </c>
      <c r="N37" t="s">
        <v>156</v>
      </c>
      <c r="O37" t="s">
        <v>79</v>
      </c>
      <c r="P37" t="s">
        <v>174</v>
      </c>
      <c r="Q37" t="s">
        <v>84</v>
      </c>
      <c r="R37" t="s">
        <v>79</v>
      </c>
      <c r="S37">
        <v>18</v>
      </c>
      <c r="T37">
        <v>0</v>
      </c>
      <c r="U37" t="s">
        <v>79</v>
      </c>
      <c r="V37" t="s">
        <v>85</v>
      </c>
      <c r="W37" t="s">
        <v>86</v>
      </c>
      <c r="X37" t="s">
        <v>86</v>
      </c>
      <c r="Y37" t="s">
        <v>82</v>
      </c>
      <c r="Z37">
        <v>180</v>
      </c>
      <c r="AA37">
        <v>180</v>
      </c>
      <c r="AB37" t="s">
        <v>79</v>
      </c>
      <c r="AC37" t="s">
        <v>79</v>
      </c>
      <c r="AD37" t="s">
        <v>82</v>
      </c>
      <c r="AE37" t="s">
        <v>179</v>
      </c>
    </row>
    <row r="38" spans="1:31" x14ac:dyDescent="0.2">
      <c r="A38" t="s">
        <v>171</v>
      </c>
      <c r="B38" t="s">
        <v>172</v>
      </c>
      <c r="C38" t="s">
        <v>158</v>
      </c>
      <c r="D38" t="s">
        <v>159</v>
      </c>
      <c r="E38" t="s">
        <v>155</v>
      </c>
      <c r="F38">
        <v>2.25</v>
      </c>
      <c r="H38" t="s">
        <v>79</v>
      </c>
      <c r="I38">
        <v>5000</v>
      </c>
      <c r="J38">
        <v>4500</v>
      </c>
      <c r="K38">
        <v>5450</v>
      </c>
      <c r="L38" t="s">
        <v>82</v>
      </c>
      <c r="M38" t="s">
        <v>173</v>
      </c>
      <c r="N38" t="s">
        <v>156</v>
      </c>
      <c r="O38" t="s">
        <v>79</v>
      </c>
      <c r="P38" t="s">
        <v>174</v>
      </c>
      <c r="Q38" t="s">
        <v>84</v>
      </c>
      <c r="R38" t="s">
        <v>79</v>
      </c>
      <c r="S38">
        <v>18</v>
      </c>
      <c r="T38">
        <v>0</v>
      </c>
      <c r="U38" t="s">
        <v>79</v>
      </c>
      <c r="V38" t="s">
        <v>85</v>
      </c>
      <c r="W38" t="s">
        <v>86</v>
      </c>
      <c r="X38" t="s">
        <v>86</v>
      </c>
      <c r="Y38" t="s">
        <v>82</v>
      </c>
      <c r="Z38">
        <v>180</v>
      </c>
      <c r="AA38">
        <v>180</v>
      </c>
      <c r="AB38" t="s">
        <v>79</v>
      </c>
      <c r="AC38" t="s">
        <v>79</v>
      </c>
      <c r="AD38" t="s">
        <v>82</v>
      </c>
      <c r="AE38" t="s">
        <v>180</v>
      </c>
    </row>
    <row r="39" spans="1:31" x14ac:dyDescent="0.2">
      <c r="A39" t="s">
        <v>171</v>
      </c>
      <c r="B39" t="s">
        <v>172</v>
      </c>
      <c r="C39" t="s">
        <v>161</v>
      </c>
      <c r="D39" t="s">
        <v>162</v>
      </c>
      <c r="E39" t="s">
        <v>130</v>
      </c>
      <c r="F39">
        <v>2.25</v>
      </c>
      <c r="G39">
        <v>2.5</v>
      </c>
      <c r="H39" t="s">
        <v>79</v>
      </c>
      <c r="I39">
        <v>5000</v>
      </c>
      <c r="J39">
        <v>0</v>
      </c>
      <c r="K39">
        <v>1500</v>
      </c>
      <c r="L39" t="s">
        <v>79</v>
      </c>
      <c r="M39" t="s">
        <v>173</v>
      </c>
      <c r="N39" t="s">
        <v>131</v>
      </c>
      <c r="O39" t="s">
        <v>79</v>
      </c>
      <c r="P39" t="s">
        <v>174</v>
      </c>
      <c r="Q39" t="s">
        <v>84</v>
      </c>
      <c r="R39" t="s">
        <v>79</v>
      </c>
      <c r="S39">
        <v>18</v>
      </c>
      <c r="T39">
        <v>0</v>
      </c>
      <c r="U39" t="s">
        <v>79</v>
      </c>
      <c r="V39" t="s">
        <v>85</v>
      </c>
      <c r="W39" t="s">
        <v>87</v>
      </c>
      <c r="X39" t="s">
        <v>86</v>
      </c>
      <c r="Y39" t="s">
        <v>79</v>
      </c>
      <c r="Z39">
        <v>180</v>
      </c>
      <c r="AA39">
        <v>180</v>
      </c>
      <c r="AB39" t="s">
        <v>79</v>
      </c>
      <c r="AC39" t="s">
        <v>79</v>
      </c>
      <c r="AD39" t="s">
        <v>79</v>
      </c>
      <c r="AE39" t="s">
        <v>176</v>
      </c>
    </row>
    <row r="40" spans="1:31" x14ac:dyDescent="0.2">
      <c r="A40" t="s">
        <v>171</v>
      </c>
      <c r="B40" t="s">
        <v>172</v>
      </c>
      <c r="C40" t="s">
        <v>163</v>
      </c>
      <c r="D40" t="s">
        <v>164</v>
      </c>
      <c r="E40" t="s">
        <v>130</v>
      </c>
      <c r="F40">
        <v>2.25</v>
      </c>
      <c r="H40" t="s">
        <v>79</v>
      </c>
      <c r="I40">
        <v>5000</v>
      </c>
      <c r="J40">
        <v>0</v>
      </c>
      <c r="K40">
        <v>1500</v>
      </c>
      <c r="L40" t="s">
        <v>79</v>
      </c>
      <c r="M40" t="s">
        <v>173</v>
      </c>
      <c r="N40" t="s">
        <v>131</v>
      </c>
      <c r="O40" t="s">
        <v>79</v>
      </c>
      <c r="P40" t="s">
        <v>174</v>
      </c>
      <c r="Q40" t="s">
        <v>84</v>
      </c>
      <c r="R40" t="s">
        <v>79</v>
      </c>
      <c r="S40">
        <v>18</v>
      </c>
      <c r="T40">
        <v>0</v>
      </c>
      <c r="U40" t="s">
        <v>79</v>
      </c>
      <c r="V40" t="s">
        <v>85</v>
      </c>
      <c r="W40" t="s">
        <v>87</v>
      </c>
      <c r="X40" t="s">
        <v>87</v>
      </c>
      <c r="Y40" t="s">
        <v>79</v>
      </c>
      <c r="Z40">
        <v>180</v>
      </c>
      <c r="AA40">
        <v>180</v>
      </c>
      <c r="AB40" t="s">
        <v>79</v>
      </c>
      <c r="AC40" t="s">
        <v>98</v>
      </c>
      <c r="AD40" t="s">
        <v>98</v>
      </c>
      <c r="AE40" t="s">
        <v>181</v>
      </c>
    </row>
    <row r="41" spans="1:31" x14ac:dyDescent="0.2">
      <c r="A41" t="s">
        <v>171</v>
      </c>
      <c r="B41" t="s">
        <v>172</v>
      </c>
      <c r="C41" t="s">
        <v>166</v>
      </c>
      <c r="D41" t="s">
        <v>167</v>
      </c>
      <c r="E41" t="s">
        <v>168</v>
      </c>
      <c r="F41">
        <v>2.25</v>
      </c>
      <c r="G41">
        <v>2.5</v>
      </c>
      <c r="H41" t="s">
        <v>79</v>
      </c>
      <c r="I41">
        <v>5000</v>
      </c>
      <c r="J41">
        <v>0</v>
      </c>
      <c r="K41">
        <v>1500</v>
      </c>
      <c r="L41" t="s">
        <v>79</v>
      </c>
      <c r="M41" t="s">
        <v>173</v>
      </c>
      <c r="N41" t="s">
        <v>169</v>
      </c>
      <c r="O41" t="s">
        <v>79</v>
      </c>
      <c r="P41" t="s">
        <v>174</v>
      </c>
      <c r="Q41" t="s">
        <v>84</v>
      </c>
      <c r="R41" t="s">
        <v>79</v>
      </c>
      <c r="S41">
        <v>18</v>
      </c>
      <c r="T41">
        <v>0</v>
      </c>
      <c r="U41" t="s">
        <v>79</v>
      </c>
      <c r="V41" t="s">
        <v>85</v>
      </c>
      <c r="W41" t="s">
        <v>87</v>
      </c>
      <c r="X41" t="s">
        <v>86</v>
      </c>
      <c r="Y41" t="s">
        <v>79</v>
      </c>
      <c r="Z41">
        <v>180</v>
      </c>
      <c r="AA41">
        <v>180</v>
      </c>
      <c r="AB41" t="s">
        <v>79</v>
      </c>
      <c r="AC41" t="s">
        <v>98</v>
      </c>
      <c r="AD41" t="s">
        <v>98</v>
      </c>
      <c r="AE41" t="s">
        <v>182</v>
      </c>
    </row>
    <row r="42" spans="1:31" x14ac:dyDescent="0.2">
      <c r="A42" t="s">
        <v>183</v>
      </c>
      <c r="B42" t="s">
        <v>184</v>
      </c>
      <c r="C42" t="s">
        <v>76</v>
      </c>
      <c r="D42" t="s">
        <v>77</v>
      </c>
      <c r="E42" t="s">
        <v>78</v>
      </c>
      <c r="F42">
        <v>3.1</v>
      </c>
      <c r="H42" t="s">
        <v>79</v>
      </c>
      <c r="I42">
        <v>10000</v>
      </c>
      <c r="J42">
        <v>750</v>
      </c>
      <c r="K42">
        <v>1500</v>
      </c>
      <c r="L42" t="s">
        <v>79</v>
      </c>
      <c r="M42" t="s">
        <v>173</v>
      </c>
      <c r="N42" t="s">
        <v>81</v>
      </c>
      <c r="O42" t="s">
        <v>79</v>
      </c>
      <c r="P42" t="s">
        <v>185</v>
      </c>
      <c r="Q42" t="s">
        <v>84</v>
      </c>
      <c r="R42" t="s">
        <v>79</v>
      </c>
      <c r="S42">
        <v>0</v>
      </c>
      <c r="T42">
        <v>0</v>
      </c>
      <c r="U42" t="s">
        <v>79</v>
      </c>
      <c r="V42" t="s">
        <v>85</v>
      </c>
      <c r="W42" t="s">
        <v>86</v>
      </c>
      <c r="X42" t="s">
        <v>87</v>
      </c>
      <c r="Y42" t="s">
        <v>82</v>
      </c>
      <c r="Z42">
        <v>240</v>
      </c>
      <c r="AA42">
        <v>180</v>
      </c>
      <c r="AB42" t="s">
        <v>79</v>
      </c>
      <c r="AC42" t="s">
        <v>79</v>
      </c>
      <c r="AD42" t="s">
        <v>82</v>
      </c>
      <c r="AE42" t="s">
        <v>175</v>
      </c>
    </row>
    <row r="43" spans="1:31" x14ac:dyDescent="0.2">
      <c r="A43" t="s">
        <v>183</v>
      </c>
      <c r="B43" t="s">
        <v>184</v>
      </c>
      <c r="C43" t="s">
        <v>89</v>
      </c>
      <c r="D43" t="s">
        <v>90</v>
      </c>
      <c r="E43" t="s">
        <v>91</v>
      </c>
      <c r="F43">
        <v>3.1</v>
      </c>
      <c r="H43" t="s">
        <v>79</v>
      </c>
      <c r="I43">
        <v>10000</v>
      </c>
      <c r="J43">
        <v>0</v>
      </c>
      <c r="K43">
        <v>1500</v>
      </c>
      <c r="L43" t="s">
        <v>79</v>
      </c>
      <c r="M43" t="s">
        <v>173</v>
      </c>
      <c r="N43" t="s">
        <v>92</v>
      </c>
      <c r="O43" t="s">
        <v>79</v>
      </c>
      <c r="P43" t="s">
        <v>185</v>
      </c>
      <c r="Q43" t="s">
        <v>84</v>
      </c>
      <c r="R43" t="s">
        <v>79</v>
      </c>
      <c r="S43">
        <v>0</v>
      </c>
      <c r="T43">
        <v>0</v>
      </c>
      <c r="U43" t="s">
        <v>79</v>
      </c>
      <c r="V43" t="s">
        <v>85</v>
      </c>
      <c r="W43" t="s">
        <v>87</v>
      </c>
      <c r="X43" t="s">
        <v>87</v>
      </c>
      <c r="Y43" t="s">
        <v>79</v>
      </c>
      <c r="Z43">
        <v>240</v>
      </c>
      <c r="AA43">
        <v>180</v>
      </c>
      <c r="AB43" t="s">
        <v>79</v>
      </c>
      <c r="AC43" t="s">
        <v>79</v>
      </c>
      <c r="AD43" t="s">
        <v>79</v>
      </c>
      <c r="AE43" t="s">
        <v>176</v>
      </c>
    </row>
    <row r="44" spans="1:31" x14ac:dyDescent="0.2">
      <c r="A44" t="s">
        <v>183</v>
      </c>
      <c r="B44" t="s">
        <v>184</v>
      </c>
      <c r="C44" t="s">
        <v>94</v>
      </c>
      <c r="D44" t="s">
        <v>95</v>
      </c>
      <c r="E44" t="s">
        <v>96</v>
      </c>
      <c r="F44">
        <v>3.1</v>
      </c>
      <c r="G44">
        <v>2.5</v>
      </c>
      <c r="H44" t="s">
        <v>82</v>
      </c>
      <c r="I44">
        <v>10000</v>
      </c>
      <c r="J44">
        <v>0</v>
      </c>
      <c r="K44">
        <v>1500</v>
      </c>
      <c r="L44" t="s">
        <v>79</v>
      </c>
      <c r="M44" t="s">
        <v>173</v>
      </c>
      <c r="N44" t="s">
        <v>97</v>
      </c>
      <c r="O44" t="s">
        <v>79</v>
      </c>
      <c r="P44" t="s">
        <v>185</v>
      </c>
      <c r="Q44" t="s">
        <v>84</v>
      </c>
      <c r="R44" t="s">
        <v>79</v>
      </c>
      <c r="S44">
        <v>0</v>
      </c>
      <c r="T44">
        <v>0</v>
      </c>
      <c r="U44" t="s">
        <v>79</v>
      </c>
      <c r="V44" t="s">
        <v>85</v>
      </c>
      <c r="W44" t="s">
        <v>87</v>
      </c>
      <c r="X44" t="s">
        <v>86</v>
      </c>
      <c r="Y44" t="s">
        <v>79</v>
      </c>
      <c r="Z44">
        <v>240</v>
      </c>
      <c r="AA44">
        <v>180</v>
      </c>
      <c r="AB44" t="s">
        <v>79</v>
      </c>
      <c r="AC44" t="s">
        <v>98</v>
      </c>
      <c r="AD44" t="s">
        <v>98</v>
      </c>
      <c r="AE44" t="s">
        <v>186</v>
      </c>
    </row>
    <row r="45" spans="1:31" x14ac:dyDescent="0.2">
      <c r="A45" t="s">
        <v>183</v>
      </c>
      <c r="B45" t="s">
        <v>184</v>
      </c>
      <c r="C45" t="s">
        <v>100</v>
      </c>
      <c r="D45" t="s">
        <v>101</v>
      </c>
      <c r="E45" t="s">
        <v>102</v>
      </c>
      <c r="F45">
        <v>3.1</v>
      </c>
      <c r="H45" t="s">
        <v>79</v>
      </c>
      <c r="I45">
        <v>10000</v>
      </c>
      <c r="J45">
        <v>0</v>
      </c>
      <c r="K45">
        <v>1500</v>
      </c>
      <c r="L45" t="s">
        <v>79</v>
      </c>
      <c r="M45" t="s">
        <v>173</v>
      </c>
      <c r="N45" t="s">
        <v>103</v>
      </c>
      <c r="O45" t="s">
        <v>79</v>
      </c>
      <c r="P45" t="s">
        <v>185</v>
      </c>
      <c r="Q45" t="s">
        <v>84</v>
      </c>
      <c r="R45" t="s">
        <v>79</v>
      </c>
      <c r="S45">
        <v>0</v>
      </c>
      <c r="T45">
        <v>0</v>
      </c>
      <c r="U45" t="s">
        <v>79</v>
      </c>
      <c r="V45" t="s">
        <v>85</v>
      </c>
      <c r="W45" t="s">
        <v>87</v>
      </c>
      <c r="X45" t="s">
        <v>87</v>
      </c>
      <c r="Y45" t="s">
        <v>79</v>
      </c>
      <c r="Z45">
        <v>240</v>
      </c>
      <c r="AA45">
        <v>180</v>
      </c>
      <c r="AB45" t="s">
        <v>79</v>
      </c>
      <c r="AC45" t="s">
        <v>79</v>
      </c>
      <c r="AD45" t="s">
        <v>79</v>
      </c>
      <c r="AE45" t="s">
        <v>176</v>
      </c>
    </row>
    <row r="46" spans="1:31" x14ac:dyDescent="0.2">
      <c r="A46" t="s">
        <v>183</v>
      </c>
      <c r="B46" t="s">
        <v>184</v>
      </c>
      <c r="C46" t="s">
        <v>105</v>
      </c>
      <c r="D46" t="s">
        <v>106</v>
      </c>
      <c r="E46" t="s">
        <v>107</v>
      </c>
      <c r="F46">
        <v>3.1</v>
      </c>
      <c r="G46">
        <v>2.5</v>
      </c>
      <c r="H46" t="s">
        <v>82</v>
      </c>
      <c r="I46">
        <v>10000</v>
      </c>
      <c r="J46">
        <v>0</v>
      </c>
      <c r="K46">
        <v>1500</v>
      </c>
      <c r="L46" t="s">
        <v>79</v>
      </c>
      <c r="M46" t="s">
        <v>173</v>
      </c>
      <c r="N46" t="s">
        <v>108</v>
      </c>
      <c r="O46" t="s">
        <v>79</v>
      </c>
      <c r="P46" t="s">
        <v>185</v>
      </c>
      <c r="Q46" t="s">
        <v>84</v>
      </c>
      <c r="R46" t="s">
        <v>79</v>
      </c>
      <c r="S46">
        <v>0</v>
      </c>
      <c r="T46">
        <v>0</v>
      </c>
      <c r="U46" t="s">
        <v>79</v>
      </c>
      <c r="V46" t="s">
        <v>85</v>
      </c>
      <c r="W46" t="s">
        <v>87</v>
      </c>
      <c r="X46" t="s">
        <v>86</v>
      </c>
      <c r="Y46" t="s">
        <v>79</v>
      </c>
      <c r="Z46">
        <v>240</v>
      </c>
      <c r="AA46">
        <v>180</v>
      </c>
      <c r="AB46" t="s">
        <v>79</v>
      </c>
      <c r="AC46" t="s">
        <v>79</v>
      </c>
      <c r="AD46" t="s">
        <v>82</v>
      </c>
      <c r="AE46" t="s">
        <v>187</v>
      </c>
    </row>
    <row r="47" spans="1:31" x14ac:dyDescent="0.2">
      <c r="A47" t="s">
        <v>183</v>
      </c>
      <c r="B47" t="s">
        <v>184</v>
      </c>
      <c r="C47" t="s">
        <v>110</v>
      </c>
      <c r="D47" t="s">
        <v>111</v>
      </c>
      <c r="E47" t="s">
        <v>112</v>
      </c>
      <c r="F47">
        <v>3.1</v>
      </c>
      <c r="H47" t="s">
        <v>79</v>
      </c>
      <c r="I47">
        <v>10000</v>
      </c>
      <c r="J47">
        <v>7300</v>
      </c>
      <c r="K47">
        <v>1500</v>
      </c>
      <c r="L47" t="s">
        <v>79</v>
      </c>
      <c r="M47" t="s">
        <v>173</v>
      </c>
      <c r="N47" t="s">
        <v>113</v>
      </c>
      <c r="O47" t="s">
        <v>79</v>
      </c>
      <c r="P47" t="s">
        <v>185</v>
      </c>
      <c r="Q47" t="s">
        <v>114</v>
      </c>
      <c r="R47" t="s">
        <v>79</v>
      </c>
      <c r="S47">
        <v>0</v>
      </c>
      <c r="T47">
        <v>0</v>
      </c>
      <c r="U47" t="s">
        <v>79</v>
      </c>
      <c r="V47" t="s">
        <v>85</v>
      </c>
      <c r="W47" t="s">
        <v>86</v>
      </c>
      <c r="X47" t="s">
        <v>86</v>
      </c>
      <c r="Y47" t="s">
        <v>82</v>
      </c>
      <c r="Z47">
        <v>240</v>
      </c>
      <c r="AA47">
        <v>180</v>
      </c>
      <c r="AB47" t="s">
        <v>79</v>
      </c>
      <c r="AC47" t="s">
        <v>79</v>
      </c>
      <c r="AD47" t="s">
        <v>82</v>
      </c>
      <c r="AE47" t="s">
        <v>175</v>
      </c>
    </row>
    <row r="48" spans="1:31" x14ac:dyDescent="0.2">
      <c r="A48" t="s">
        <v>183</v>
      </c>
      <c r="B48" t="s">
        <v>184</v>
      </c>
      <c r="C48" t="s">
        <v>116</v>
      </c>
      <c r="D48" t="s">
        <v>117</v>
      </c>
      <c r="E48" t="s">
        <v>107</v>
      </c>
      <c r="F48">
        <v>3.1</v>
      </c>
      <c r="G48">
        <v>2.5</v>
      </c>
      <c r="H48" t="s">
        <v>82</v>
      </c>
      <c r="I48">
        <v>10000</v>
      </c>
      <c r="J48">
        <v>0</v>
      </c>
      <c r="K48">
        <v>1500</v>
      </c>
      <c r="L48" t="s">
        <v>79</v>
      </c>
      <c r="M48" t="s">
        <v>173</v>
      </c>
      <c r="N48" t="s">
        <v>108</v>
      </c>
      <c r="O48" t="s">
        <v>79</v>
      </c>
      <c r="P48" t="s">
        <v>185</v>
      </c>
      <c r="Q48" t="s">
        <v>84</v>
      </c>
      <c r="R48" t="s">
        <v>79</v>
      </c>
      <c r="S48">
        <v>0</v>
      </c>
      <c r="T48">
        <v>0</v>
      </c>
      <c r="U48" t="s">
        <v>79</v>
      </c>
      <c r="V48" t="s">
        <v>85</v>
      </c>
      <c r="W48" t="s">
        <v>87</v>
      </c>
      <c r="X48" t="s">
        <v>87</v>
      </c>
      <c r="Y48" t="s">
        <v>79</v>
      </c>
      <c r="Z48">
        <v>240</v>
      </c>
      <c r="AA48">
        <v>180</v>
      </c>
      <c r="AB48" t="s">
        <v>79</v>
      </c>
      <c r="AC48" t="s">
        <v>79</v>
      </c>
      <c r="AD48" t="s">
        <v>82</v>
      </c>
      <c r="AE48" t="s">
        <v>187</v>
      </c>
    </row>
    <row r="49" spans="1:31" x14ac:dyDescent="0.2">
      <c r="A49" t="s">
        <v>183</v>
      </c>
      <c r="B49" t="s">
        <v>184</v>
      </c>
      <c r="C49" t="s">
        <v>118</v>
      </c>
      <c r="D49" t="s">
        <v>119</v>
      </c>
      <c r="E49" t="s">
        <v>120</v>
      </c>
      <c r="F49">
        <v>3.1</v>
      </c>
      <c r="H49" t="s">
        <v>79</v>
      </c>
      <c r="I49">
        <v>10000</v>
      </c>
      <c r="J49">
        <v>0</v>
      </c>
      <c r="K49">
        <v>1500</v>
      </c>
      <c r="L49" t="s">
        <v>79</v>
      </c>
      <c r="M49" t="s">
        <v>173</v>
      </c>
      <c r="N49" t="s">
        <v>121</v>
      </c>
      <c r="O49" t="s">
        <v>79</v>
      </c>
      <c r="P49" t="s">
        <v>185</v>
      </c>
      <c r="Q49" t="s">
        <v>84</v>
      </c>
      <c r="R49" t="s">
        <v>79</v>
      </c>
      <c r="S49">
        <v>0</v>
      </c>
      <c r="T49">
        <v>0</v>
      </c>
      <c r="U49" t="s">
        <v>79</v>
      </c>
      <c r="V49" t="s">
        <v>85</v>
      </c>
      <c r="W49" t="s">
        <v>87</v>
      </c>
      <c r="X49" t="s">
        <v>87</v>
      </c>
      <c r="Y49" t="s">
        <v>79</v>
      </c>
      <c r="Z49">
        <v>240</v>
      </c>
      <c r="AA49">
        <v>180</v>
      </c>
      <c r="AB49" t="s">
        <v>79</v>
      </c>
      <c r="AC49" t="s">
        <v>79</v>
      </c>
      <c r="AD49" t="s">
        <v>79</v>
      </c>
      <c r="AE49" t="s">
        <v>176</v>
      </c>
    </row>
    <row r="50" spans="1:31" x14ac:dyDescent="0.2">
      <c r="A50" t="s">
        <v>183</v>
      </c>
      <c r="B50" t="s">
        <v>184</v>
      </c>
      <c r="C50" t="s">
        <v>123</v>
      </c>
      <c r="D50" t="s">
        <v>124</v>
      </c>
      <c r="E50" t="s">
        <v>125</v>
      </c>
      <c r="F50">
        <v>3.1</v>
      </c>
      <c r="H50" t="s">
        <v>79</v>
      </c>
      <c r="I50">
        <v>10000</v>
      </c>
      <c r="J50">
        <v>0</v>
      </c>
      <c r="K50">
        <v>1500</v>
      </c>
      <c r="L50" t="s">
        <v>79</v>
      </c>
      <c r="M50" t="s">
        <v>173</v>
      </c>
      <c r="N50" t="s">
        <v>126</v>
      </c>
      <c r="O50" t="s">
        <v>79</v>
      </c>
      <c r="P50" t="s">
        <v>185</v>
      </c>
      <c r="Q50" t="s">
        <v>84</v>
      </c>
      <c r="R50" t="s">
        <v>79</v>
      </c>
      <c r="S50">
        <v>0</v>
      </c>
      <c r="T50">
        <v>0</v>
      </c>
      <c r="U50" t="s">
        <v>79</v>
      </c>
      <c r="V50" t="s">
        <v>85</v>
      </c>
      <c r="W50" t="s">
        <v>87</v>
      </c>
      <c r="X50" t="s">
        <v>87</v>
      </c>
      <c r="Y50" t="s">
        <v>79</v>
      </c>
      <c r="Z50">
        <v>240</v>
      </c>
      <c r="AA50">
        <v>180</v>
      </c>
      <c r="AB50" t="s">
        <v>79</v>
      </c>
      <c r="AC50" t="s">
        <v>79</v>
      </c>
      <c r="AD50" t="s">
        <v>79</v>
      </c>
      <c r="AE50" t="s">
        <v>176</v>
      </c>
    </row>
    <row r="51" spans="1:31" x14ac:dyDescent="0.2">
      <c r="A51" t="s">
        <v>183</v>
      </c>
      <c r="B51" t="s">
        <v>184</v>
      </c>
      <c r="C51" t="s">
        <v>128</v>
      </c>
      <c r="D51" t="s">
        <v>129</v>
      </c>
      <c r="E51" t="s">
        <v>130</v>
      </c>
      <c r="F51">
        <v>3.1</v>
      </c>
      <c r="G51">
        <v>2.5</v>
      </c>
      <c r="H51" t="s">
        <v>82</v>
      </c>
      <c r="I51">
        <v>10000</v>
      </c>
      <c r="J51">
        <v>0</v>
      </c>
      <c r="K51">
        <v>1500</v>
      </c>
      <c r="L51" t="s">
        <v>79</v>
      </c>
      <c r="M51" t="s">
        <v>173</v>
      </c>
      <c r="N51" t="s">
        <v>131</v>
      </c>
      <c r="O51" t="s">
        <v>79</v>
      </c>
      <c r="P51" t="s">
        <v>185</v>
      </c>
      <c r="Q51" t="s">
        <v>84</v>
      </c>
      <c r="R51" t="s">
        <v>79</v>
      </c>
      <c r="S51">
        <v>0</v>
      </c>
      <c r="T51">
        <v>0</v>
      </c>
      <c r="U51" t="s">
        <v>79</v>
      </c>
      <c r="V51" t="s">
        <v>85</v>
      </c>
      <c r="W51" t="s">
        <v>87</v>
      </c>
      <c r="X51" t="s">
        <v>86</v>
      </c>
      <c r="Y51" t="s">
        <v>79</v>
      </c>
      <c r="Z51">
        <v>240</v>
      </c>
      <c r="AA51">
        <v>180</v>
      </c>
      <c r="AB51" t="s">
        <v>79</v>
      </c>
      <c r="AC51" t="s">
        <v>79</v>
      </c>
      <c r="AD51" t="s">
        <v>82</v>
      </c>
      <c r="AE51" t="s">
        <v>187</v>
      </c>
    </row>
    <row r="52" spans="1:31" x14ac:dyDescent="0.2">
      <c r="A52" t="s">
        <v>183</v>
      </c>
      <c r="B52" t="s">
        <v>184</v>
      </c>
      <c r="C52" t="s">
        <v>133</v>
      </c>
      <c r="D52" t="s">
        <v>134</v>
      </c>
      <c r="E52" t="s">
        <v>120</v>
      </c>
      <c r="F52">
        <v>3.1</v>
      </c>
      <c r="G52">
        <v>3</v>
      </c>
      <c r="H52" t="s">
        <v>82</v>
      </c>
      <c r="I52">
        <v>10000</v>
      </c>
      <c r="J52">
        <v>0</v>
      </c>
      <c r="K52">
        <v>1500</v>
      </c>
      <c r="L52" t="s">
        <v>79</v>
      </c>
      <c r="M52" t="s">
        <v>173</v>
      </c>
      <c r="N52" t="s">
        <v>121</v>
      </c>
      <c r="O52" t="s">
        <v>79</v>
      </c>
      <c r="P52" t="s">
        <v>185</v>
      </c>
      <c r="Q52" t="s">
        <v>84</v>
      </c>
      <c r="R52" t="s">
        <v>79</v>
      </c>
      <c r="S52">
        <v>0</v>
      </c>
      <c r="T52">
        <v>0</v>
      </c>
      <c r="U52" t="s">
        <v>79</v>
      </c>
      <c r="V52" t="s">
        <v>85</v>
      </c>
      <c r="W52" t="s">
        <v>87</v>
      </c>
      <c r="X52" t="s">
        <v>87</v>
      </c>
      <c r="Y52" t="s">
        <v>79</v>
      </c>
      <c r="Z52">
        <v>240</v>
      </c>
      <c r="AA52">
        <v>180</v>
      </c>
      <c r="AB52" t="s">
        <v>79</v>
      </c>
      <c r="AC52" t="s">
        <v>98</v>
      </c>
      <c r="AD52" t="s">
        <v>98</v>
      </c>
      <c r="AE52" t="s">
        <v>188</v>
      </c>
    </row>
    <row r="53" spans="1:31" x14ac:dyDescent="0.2">
      <c r="A53" t="s">
        <v>183</v>
      </c>
      <c r="B53" t="s">
        <v>184</v>
      </c>
      <c r="C53" t="s">
        <v>136</v>
      </c>
      <c r="D53" t="s">
        <v>137</v>
      </c>
      <c r="E53" t="s">
        <v>138</v>
      </c>
      <c r="F53">
        <v>3.1</v>
      </c>
      <c r="H53" t="s">
        <v>79</v>
      </c>
      <c r="I53">
        <v>10000</v>
      </c>
      <c r="J53">
        <v>0</v>
      </c>
      <c r="K53">
        <v>1500</v>
      </c>
      <c r="L53" t="s">
        <v>79</v>
      </c>
      <c r="M53" t="s">
        <v>173</v>
      </c>
      <c r="N53" t="s">
        <v>139</v>
      </c>
      <c r="O53" t="s">
        <v>79</v>
      </c>
      <c r="P53" t="s">
        <v>185</v>
      </c>
      <c r="Q53" t="s">
        <v>84</v>
      </c>
      <c r="R53" t="s">
        <v>79</v>
      </c>
      <c r="S53">
        <v>0</v>
      </c>
      <c r="T53">
        <v>0</v>
      </c>
      <c r="U53" t="s">
        <v>79</v>
      </c>
      <c r="V53" t="s">
        <v>85</v>
      </c>
      <c r="W53" t="s">
        <v>87</v>
      </c>
      <c r="X53" t="s">
        <v>86</v>
      </c>
      <c r="Y53" t="s">
        <v>79</v>
      </c>
      <c r="Z53">
        <v>240</v>
      </c>
      <c r="AA53">
        <v>180</v>
      </c>
      <c r="AB53" t="s">
        <v>79</v>
      </c>
      <c r="AC53" t="s">
        <v>98</v>
      </c>
      <c r="AD53" t="s">
        <v>98</v>
      </c>
      <c r="AE53" t="s">
        <v>140</v>
      </c>
    </row>
    <row r="54" spans="1:31" x14ac:dyDescent="0.2">
      <c r="A54" t="s">
        <v>183</v>
      </c>
      <c r="B54" t="s">
        <v>184</v>
      </c>
      <c r="C54" t="s">
        <v>141</v>
      </c>
      <c r="D54" t="s">
        <v>142</v>
      </c>
      <c r="E54" t="s">
        <v>102</v>
      </c>
      <c r="F54">
        <v>3.1</v>
      </c>
      <c r="H54" t="s">
        <v>79</v>
      </c>
      <c r="I54">
        <v>10000</v>
      </c>
      <c r="J54">
        <v>0</v>
      </c>
      <c r="K54">
        <v>1500</v>
      </c>
      <c r="L54" t="s">
        <v>79</v>
      </c>
      <c r="M54" t="s">
        <v>173</v>
      </c>
      <c r="N54" t="s">
        <v>143</v>
      </c>
      <c r="O54" t="s">
        <v>79</v>
      </c>
      <c r="P54" t="s">
        <v>185</v>
      </c>
      <c r="Q54" t="s">
        <v>84</v>
      </c>
      <c r="R54" t="s">
        <v>79</v>
      </c>
      <c r="S54">
        <v>0</v>
      </c>
      <c r="T54">
        <v>0</v>
      </c>
      <c r="U54" t="s">
        <v>79</v>
      </c>
      <c r="V54" t="s">
        <v>85</v>
      </c>
      <c r="W54" t="s">
        <v>87</v>
      </c>
      <c r="X54" t="s">
        <v>87</v>
      </c>
      <c r="Y54" t="s">
        <v>79</v>
      </c>
      <c r="Z54">
        <v>240</v>
      </c>
      <c r="AA54">
        <v>180</v>
      </c>
      <c r="AB54" t="s">
        <v>79</v>
      </c>
      <c r="AC54" t="s">
        <v>79</v>
      </c>
      <c r="AD54" t="s">
        <v>79</v>
      </c>
      <c r="AE54" t="s">
        <v>176</v>
      </c>
    </row>
    <row r="55" spans="1:31" x14ac:dyDescent="0.2">
      <c r="A55" t="s">
        <v>183</v>
      </c>
      <c r="B55" t="s">
        <v>184</v>
      </c>
      <c r="C55" t="s">
        <v>145</v>
      </c>
      <c r="D55" t="s">
        <v>146</v>
      </c>
      <c r="E55" t="s">
        <v>147</v>
      </c>
      <c r="F55">
        <v>3.1</v>
      </c>
      <c r="H55" t="s">
        <v>79</v>
      </c>
      <c r="I55">
        <v>10000</v>
      </c>
      <c r="J55">
        <v>0</v>
      </c>
      <c r="K55">
        <v>1500</v>
      </c>
      <c r="L55" t="s">
        <v>79</v>
      </c>
      <c r="M55" t="s">
        <v>173</v>
      </c>
      <c r="N55" t="s">
        <v>148</v>
      </c>
      <c r="O55" t="s">
        <v>79</v>
      </c>
      <c r="P55" t="s">
        <v>185</v>
      </c>
      <c r="Q55" t="s">
        <v>84</v>
      </c>
      <c r="R55" t="s">
        <v>79</v>
      </c>
      <c r="S55">
        <v>0</v>
      </c>
      <c r="T55">
        <v>0</v>
      </c>
      <c r="U55" t="s">
        <v>79</v>
      </c>
      <c r="V55" t="s">
        <v>85</v>
      </c>
      <c r="W55" t="s">
        <v>87</v>
      </c>
      <c r="X55" t="s">
        <v>86</v>
      </c>
      <c r="Y55" t="s">
        <v>79</v>
      </c>
      <c r="Z55">
        <v>240</v>
      </c>
      <c r="AA55">
        <v>180</v>
      </c>
      <c r="AB55" t="s">
        <v>79</v>
      </c>
      <c r="AC55" t="s">
        <v>79</v>
      </c>
      <c r="AD55" t="s">
        <v>79</v>
      </c>
      <c r="AE55" t="s">
        <v>176</v>
      </c>
    </row>
    <row r="56" spans="1:31" x14ac:dyDescent="0.2">
      <c r="A56" t="s">
        <v>183</v>
      </c>
      <c r="B56" t="s">
        <v>184</v>
      </c>
      <c r="C56" t="s">
        <v>150</v>
      </c>
      <c r="D56" t="s">
        <v>151</v>
      </c>
      <c r="E56" t="s">
        <v>138</v>
      </c>
      <c r="F56">
        <v>3.1</v>
      </c>
      <c r="H56" t="s">
        <v>79</v>
      </c>
      <c r="I56">
        <v>10000</v>
      </c>
      <c r="J56">
        <v>0</v>
      </c>
      <c r="K56">
        <v>1500</v>
      </c>
      <c r="L56" t="s">
        <v>79</v>
      </c>
      <c r="M56" t="s">
        <v>173</v>
      </c>
      <c r="N56" t="s">
        <v>139</v>
      </c>
      <c r="O56" t="s">
        <v>79</v>
      </c>
      <c r="P56" t="s">
        <v>185</v>
      </c>
      <c r="Q56" t="s">
        <v>84</v>
      </c>
      <c r="R56" t="s">
        <v>79</v>
      </c>
      <c r="S56">
        <v>0</v>
      </c>
      <c r="T56">
        <v>0</v>
      </c>
      <c r="U56" t="s">
        <v>79</v>
      </c>
      <c r="V56" t="s">
        <v>85</v>
      </c>
      <c r="W56" t="s">
        <v>87</v>
      </c>
      <c r="X56" t="s">
        <v>86</v>
      </c>
      <c r="Y56" t="s">
        <v>79</v>
      </c>
      <c r="Z56">
        <v>240</v>
      </c>
      <c r="AA56">
        <v>180</v>
      </c>
      <c r="AB56" t="s">
        <v>79</v>
      </c>
      <c r="AC56" t="s">
        <v>98</v>
      </c>
      <c r="AD56" t="s">
        <v>98</v>
      </c>
      <c r="AE56" t="s">
        <v>152</v>
      </c>
    </row>
    <row r="57" spans="1:31" x14ac:dyDescent="0.2">
      <c r="A57" t="s">
        <v>183</v>
      </c>
      <c r="B57" t="s">
        <v>184</v>
      </c>
      <c r="C57" t="s">
        <v>153</v>
      </c>
      <c r="D57" t="s">
        <v>154</v>
      </c>
      <c r="E57" t="s">
        <v>155</v>
      </c>
      <c r="F57">
        <v>3.1</v>
      </c>
      <c r="H57" t="s">
        <v>79</v>
      </c>
      <c r="I57">
        <v>10000</v>
      </c>
      <c r="J57">
        <v>5040</v>
      </c>
      <c r="K57">
        <v>6950</v>
      </c>
      <c r="L57" t="s">
        <v>79</v>
      </c>
      <c r="M57" t="s">
        <v>173</v>
      </c>
      <c r="N57" t="s">
        <v>156</v>
      </c>
      <c r="O57" t="s">
        <v>79</v>
      </c>
      <c r="P57" t="s">
        <v>185</v>
      </c>
      <c r="Q57" t="s">
        <v>84</v>
      </c>
      <c r="R57" t="s">
        <v>79</v>
      </c>
      <c r="S57">
        <v>0</v>
      </c>
      <c r="T57">
        <v>0</v>
      </c>
      <c r="U57" t="s">
        <v>79</v>
      </c>
      <c r="V57" t="s">
        <v>85</v>
      </c>
      <c r="W57" t="s">
        <v>86</v>
      </c>
      <c r="X57" t="s">
        <v>86</v>
      </c>
      <c r="Y57" t="s">
        <v>82</v>
      </c>
      <c r="Z57">
        <v>240</v>
      </c>
      <c r="AA57">
        <v>180</v>
      </c>
      <c r="AB57" t="s">
        <v>79</v>
      </c>
      <c r="AC57" t="s">
        <v>79</v>
      </c>
      <c r="AD57" t="s">
        <v>82</v>
      </c>
      <c r="AE57" t="s">
        <v>175</v>
      </c>
    </row>
    <row r="58" spans="1:31" x14ac:dyDescent="0.2">
      <c r="A58" t="s">
        <v>183</v>
      </c>
      <c r="B58" t="s">
        <v>184</v>
      </c>
      <c r="C58" t="s">
        <v>158</v>
      </c>
      <c r="D58" t="s">
        <v>159</v>
      </c>
      <c r="E58" t="s">
        <v>155</v>
      </c>
      <c r="F58">
        <v>3.1</v>
      </c>
      <c r="H58" t="s">
        <v>79</v>
      </c>
      <c r="I58">
        <v>10000</v>
      </c>
      <c r="J58">
        <v>4500</v>
      </c>
      <c r="K58">
        <v>5450</v>
      </c>
      <c r="L58" t="s">
        <v>79</v>
      </c>
      <c r="M58" t="s">
        <v>173</v>
      </c>
      <c r="N58" t="s">
        <v>156</v>
      </c>
      <c r="O58" t="s">
        <v>79</v>
      </c>
      <c r="P58" t="s">
        <v>185</v>
      </c>
      <c r="Q58" t="s">
        <v>84</v>
      </c>
      <c r="R58" t="s">
        <v>79</v>
      </c>
      <c r="S58">
        <v>0</v>
      </c>
      <c r="T58">
        <v>0</v>
      </c>
      <c r="U58" t="s">
        <v>79</v>
      </c>
      <c r="V58" t="s">
        <v>85</v>
      </c>
      <c r="W58" t="s">
        <v>86</v>
      </c>
      <c r="X58" t="s">
        <v>86</v>
      </c>
      <c r="Y58" t="s">
        <v>82</v>
      </c>
      <c r="Z58">
        <v>240</v>
      </c>
      <c r="AA58">
        <v>180</v>
      </c>
      <c r="AB58" t="s">
        <v>79</v>
      </c>
      <c r="AC58" t="s">
        <v>79</v>
      </c>
      <c r="AD58" t="s">
        <v>82</v>
      </c>
      <c r="AE58" t="s">
        <v>175</v>
      </c>
    </row>
    <row r="59" spans="1:31" x14ac:dyDescent="0.2">
      <c r="A59" t="s">
        <v>183</v>
      </c>
      <c r="B59" t="s">
        <v>184</v>
      </c>
      <c r="C59" t="s">
        <v>161</v>
      </c>
      <c r="D59" t="s">
        <v>162</v>
      </c>
      <c r="E59" t="s">
        <v>130</v>
      </c>
      <c r="F59">
        <v>3.1</v>
      </c>
      <c r="G59">
        <v>2.5</v>
      </c>
      <c r="H59" t="s">
        <v>82</v>
      </c>
      <c r="I59">
        <v>10000</v>
      </c>
      <c r="J59">
        <v>0</v>
      </c>
      <c r="K59">
        <v>1500</v>
      </c>
      <c r="L59" t="s">
        <v>79</v>
      </c>
      <c r="M59" t="s">
        <v>173</v>
      </c>
      <c r="N59" t="s">
        <v>131</v>
      </c>
      <c r="O59" t="s">
        <v>79</v>
      </c>
      <c r="P59" t="s">
        <v>185</v>
      </c>
      <c r="Q59" t="s">
        <v>84</v>
      </c>
      <c r="R59" t="s">
        <v>79</v>
      </c>
      <c r="S59">
        <v>0</v>
      </c>
      <c r="T59">
        <v>0</v>
      </c>
      <c r="U59" t="s">
        <v>79</v>
      </c>
      <c r="V59" t="s">
        <v>85</v>
      </c>
      <c r="W59" t="s">
        <v>87</v>
      </c>
      <c r="X59" t="s">
        <v>86</v>
      </c>
      <c r="Y59" t="s">
        <v>79</v>
      </c>
      <c r="Z59">
        <v>240</v>
      </c>
      <c r="AA59">
        <v>180</v>
      </c>
      <c r="AB59" t="s">
        <v>79</v>
      </c>
      <c r="AC59" t="s">
        <v>79</v>
      </c>
      <c r="AD59" t="s">
        <v>82</v>
      </c>
      <c r="AE59" t="s">
        <v>187</v>
      </c>
    </row>
    <row r="60" spans="1:31" x14ac:dyDescent="0.2">
      <c r="A60" t="s">
        <v>183</v>
      </c>
      <c r="B60" t="s">
        <v>184</v>
      </c>
      <c r="C60" t="s">
        <v>163</v>
      </c>
      <c r="D60" t="s">
        <v>164</v>
      </c>
      <c r="E60" t="s">
        <v>130</v>
      </c>
      <c r="F60">
        <v>3.1</v>
      </c>
      <c r="H60" t="s">
        <v>79</v>
      </c>
      <c r="I60">
        <v>10000</v>
      </c>
      <c r="J60">
        <v>0</v>
      </c>
      <c r="K60">
        <v>1500</v>
      </c>
      <c r="L60" t="s">
        <v>79</v>
      </c>
      <c r="M60" t="s">
        <v>173</v>
      </c>
      <c r="N60" t="s">
        <v>131</v>
      </c>
      <c r="O60" t="s">
        <v>79</v>
      </c>
      <c r="P60" t="s">
        <v>185</v>
      </c>
      <c r="Q60" t="s">
        <v>84</v>
      </c>
      <c r="R60" t="s">
        <v>79</v>
      </c>
      <c r="S60">
        <v>0</v>
      </c>
      <c r="T60">
        <v>0</v>
      </c>
      <c r="U60" t="s">
        <v>79</v>
      </c>
      <c r="V60" t="s">
        <v>85</v>
      </c>
      <c r="W60" t="s">
        <v>87</v>
      </c>
      <c r="X60" t="s">
        <v>87</v>
      </c>
      <c r="Y60" t="s">
        <v>79</v>
      </c>
      <c r="Z60">
        <v>240</v>
      </c>
      <c r="AA60">
        <v>180</v>
      </c>
      <c r="AB60" t="s">
        <v>79</v>
      </c>
      <c r="AC60" t="s">
        <v>98</v>
      </c>
      <c r="AD60" t="s">
        <v>98</v>
      </c>
      <c r="AE60" t="s">
        <v>181</v>
      </c>
    </row>
    <row r="61" spans="1:31" x14ac:dyDescent="0.2">
      <c r="A61" t="s">
        <v>183</v>
      </c>
      <c r="B61" t="s">
        <v>184</v>
      </c>
      <c r="C61" t="s">
        <v>166</v>
      </c>
      <c r="D61" t="s">
        <v>167</v>
      </c>
      <c r="E61" t="s">
        <v>168</v>
      </c>
      <c r="F61">
        <v>3.1</v>
      </c>
      <c r="G61">
        <v>2.5</v>
      </c>
      <c r="H61" t="s">
        <v>82</v>
      </c>
      <c r="I61">
        <v>10000</v>
      </c>
      <c r="J61">
        <v>0</v>
      </c>
      <c r="K61">
        <v>1500</v>
      </c>
      <c r="L61" t="s">
        <v>79</v>
      </c>
      <c r="M61" t="s">
        <v>173</v>
      </c>
      <c r="N61" t="s">
        <v>169</v>
      </c>
      <c r="O61" t="s">
        <v>79</v>
      </c>
      <c r="P61" t="s">
        <v>185</v>
      </c>
      <c r="Q61" t="s">
        <v>84</v>
      </c>
      <c r="R61" t="s">
        <v>79</v>
      </c>
      <c r="S61">
        <v>0</v>
      </c>
      <c r="T61">
        <v>0</v>
      </c>
      <c r="U61" t="s">
        <v>79</v>
      </c>
      <c r="V61" t="s">
        <v>85</v>
      </c>
      <c r="W61" t="s">
        <v>87</v>
      </c>
      <c r="X61" t="s">
        <v>86</v>
      </c>
      <c r="Y61" t="s">
        <v>79</v>
      </c>
      <c r="Z61">
        <v>240</v>
      </c>
      <c r="AA61">
        <v>180</v>
      </c>
      <c r="AB61" t="s">
        <v>79</v>
      </c>
      <c r="AC61" t="s">
        <v>98</v>
      </c>
      <c r="AD61" t="s">
        <v>98</v>
      </c>
      <c r="AE61" t="s">
        <v>189</v>
      </c>
    </row>
    <row r="62" spans="1:31" x14ac:dyDescent="0.2">
      <c r="A62" t="s">
        <v>190</v>
      </c>
      <c r="B62" t="s">
        <v>191</v>
      </c>
      <c r="C62" t="s">
        <v>76</v>
      </c>
      <c r="D62" t="s">
        <v>77</v>
      </c>
      <c r="E62" t="s">
        <v>78</v>
      </c>
      <c r="F62">
        <v>2.2999999999999998</v>
      </c>
      <c r="H62" t="s">
        <v>79</v>
      </c>
      <c r="I62">
        <v>2000</v>
      </c>
      <c r="J62">
        <v>750</v>
      </c>
      <c r="K62">
        <v>1500</v>
      </c>
      <c r="L62" t="s">
        <v>79</v>
      </c>
      <c r="M62" t="s">
        <v>192</v>
      </c>
      <c r="N62" t="s">
        <v>81</v>
      </c>
      <c r="O62" t="s">
        <v>82</v>
      </c>
      <c r="P62" t="s">
        <v>193</v>
      </c>
      <c r="Q62" t="s">
        <v>84</v>
      </c>
      <c r="R62" t="s">
        <v>79</v>
      </c>
      <c r="S62">
        <v>12</v>
      </c>
      <c r="T62">
        <v>0</v>
      </c>
      <c r="U62" t="s">
        <v>79</v>
      </c>
      <c r="V62" t="s">
        <v>85</v>
      </c>
      <c r="W62" t="s">
        <v>86</v>
      </c>
      <c r="X62" t="s">
        <v>87</v>
      </c>
      <c r="Y62" t="s">
        <v>82</v>
      </c>
      <c r="Z62">
        <v>210</v>
      </c>
      <c r="AA62">
        <v>180</v>
      </c>
      <c r="AB62" t="s">
        <v>79</v>
      </c>
      <c r="AC62" t="s">
        <v>79</v>
      </c>
      <c r="AD62" t="s">
        <v>82</v>
      </c>
      <c r="AE62" t="s">
        <v>88</v>
      </c>
    </row>
    <row r="63" spans="1:31" x14ac:dyDescent="0.2">
      <c r="A63" t="s">
        <v>190</v>
      </c>
      <c r="B63" t="s">
        <v>191</v>
      </c>
      <c r="C63" t="s">
        <v>89</v>
      </c>
      <c r="D63" t="s">
        <v>90</v>
      </c>
      <c r="E63" t="s">
        <v>91</v>
      </c>
      <c r="F63">
        <v>2.2999999999999998</v>
      </c>
      <c r="H63" t="s">
        <v>79</v>
      </c>
      <c r="I63">
        <v>2000</v>
      </c>
      <c r="J63">
        <v>0</v>
      </c>
      <c r="K63">
        <v>1500</v>
      </c>
      <c r="L63" t="s">
        <v>79</v>
      </c>
      <c r="M63" t="s">
        <v>192</v>
      </c>
      <c r="N63" t="s">
        <v>92</v>
      </c>
      <c r="O63" t="s">
        <v>82</v>
      </c>
      <c r="P63" t="s">
        <v>193</v>
      </c>
      <c r="Q63" t="s">
        <v>84</v>
      </c>
      <c r="R63" t="s">
        <v>79</v>
      </c>
      <c r="S63">
        <v>12</v>
      </c>
      <c r="T63">
        <v>0</v>
      </c>
      <c r="U63" t="s">
        <v>79</v>
      </c>
      <c r="V63" t="s">
        <v>85</v>
      </c>
      <c r="W63" t="s">
        <v>87</v>
      </c>
      <c r="X63" t="s">
        <v>87</v>
      </c>
      <c r="Y63" t="s">
        <v>79</v>
      </c>
      <c r="Z63">
        <v>210</v>
      </c>
      <c r="AA63">
        <v>180</v>
      </c>
      <c r="AB63" t="s">
        <v>79</v>
      </c>
      <c r="AC63" t="s">
        <v>79</v>
      </c>
      <c r="AD63" t="s">
        <v>82</v>
      </c>
      <c r="AE63" t="s">
        <v>93</v>
      </c>
    </row>
    <row r="64" spans="1:31" x14ac:dyDescent="0.2">
      <c r="A64" t="s">
        <v>190</v>
      </c>
      <c r="B64" t="s">
        <v>191</v>
      </c>
      <c r="C64" t="s">
        <v>94</v>
      </c>
      <c r="D64" t="s">
        <v>95</v>
      </c>
      <c r="E64" t="s">
        <v>96</v>
      </c>
      <c r="F64">
        <v>2.2999999999999998</v>
      </c>
      <c r="G64">
        <v>2.5</v>
      </c>
      <c r="H64" t="s">
        <v>79</v>
      </c>
      <c r="I64">
        <v>2000</v>
      </c>
      <c r="J64">
        <v>0</v>
      </c>
      <c r="K64">
        <v>1500</v>
      </c>
      <c r="L64" t="s">
        <v>79</v>
      </c>
      <c r="M64" t="s">
        <v>192</v>
      </c>
      <c r="N64" t="s">
        <v>97</v>
      </c>
      <c r="O64" t="s">
        <v>79</v>
      </c>
      <c r="P64" t="s">
        <v>193</v>
      </c>
      <c r="Q64" t="s">
        <v>84</v>
      </c>
      <c r="R64" t="s">
        <v>79</v>
      </c>
      <c r="S64">
        <v>12</v>
      </c>
      <c r="T64">
        <v>0</v>
      </c>
      <c r="U64" t="s">
        <v>79</v>
      </c>
      <c r="V64" t="s">
        <v>85</v>
      </c>
      <c r="W64" t="s">
        <v>87</v>
      </c>
      <c r="X64" t="s">
        <v>86</v>
      </c>
      <c r="Y64" t="s">
        <v>79</v>
      </c>
      <c r="Z64">
        <v>210</v>
      </c>
      <c r="AA64">
        <v>180</v>
      </c>
      <c r="AB64" t="s">
        <v>79</v>
      </c>
      <c r="AC64" t="s">
        <v>98</v>
      </c>
      <c r="AD64" t="s">
        <v>98</v>
      </c>
      <c r="AE64" t="s">
        <v>177</v>
      </c>
    </row>
    <row r="65" spans="1:31" x14ac:dyDescent="0.2">
      <c r="A65" t="s">
        <v>190</v>
      </c>
      <c r="B65" t="s">
        <v>191</v>
      </c>
      <c r="C65" t="s">
        <v>100</v>
      </c>
      <c r="D65" t="s">
        <v>101</v>
      </c>
      <c r="E65" t="s">
        <v>102</v>
      </c>
      <c r="F65">
        <v>2.2999999999999998</v>
      </c>
      <c r="H65" t="s">
        <v>79</v>
      </c>
      <c r="I65">
        <v>2000</v>
      </c>
      <c r="J65">
        <v>0</v>
      </c>
      <c r="K65">
        <v>1500</v>
      </c>
      <c r="L65" t="s">
        <v>79</v>
      </c>
      <c r="M65" t="s">
        <v>192</v>
      </c>
      <c r="N65" t="s">
        <v>103</v>
      </c>
      <c r="O65" t="s">
        <v>82</v>
      </c>
      <c r="P65" t="s">
        <v>193</v>
      </c>
      <c r="Q65" t="s">
        <v>84</v>
      </c>
      <c r="R65" t="s">
        <v>79</v>
      </c>
      <c r="S65">
        <v>12</v>
      </c>
      <c r="T65">
        <v>0</v>
      </c>
      <c r="U65" t="s">
        <v>79</v>
      </c>
      <c r="V65" t="s">
        <v>85</v>
      </c>
      <c r="W65" t="s">
        <v>87</v>
      </c>
      <c r="X65" t="s">
        <v>87</v>
      </c>
      <c r="Y65" t="s">
        <v>79</v>
      </c>
      <c r="Z65">
        <v>210</v>
      </c>
      <c r="AA65">
        <v>180</v>
      </c>
      <c r="AB65" t="s">
        <v>79</v>
      </c>
      <c r="AC65" t="s">
        <v>79</v>
      </c>
      <c r="AD65" t="s">
        <v>82</v>
      </c>
      <c r="AE65" t="s">
        <v>104</v>
      </c>
    </row>
    <row r="66" spans="1:31" x14ac:dyDescent="0.2">
      <c r="A66" t="s">
        <v>190</v>
      </c>
      <c r="B66" t="s">
        <v>191</v>
      </c>
      <c r="C66" t="s">
        <v>105</v>
      </c>
      <c r="D66" t="s">
        <v>106</v>
      </c>
      <c r="E66" t="s">
        <v>107</v>
      </c>
      <c r="F66">
        <v>2.2999999999999998</v>
      </c>
      <c r="G66">
        <v>2.5</v>
      </c>
      <c r="H66" t="s">
        <v>79</v>
      </c>
      <c r="I66">
        <v>2000</v>
      </c>
      <c r="J66">
        <v>0</v>
      </c>
      <c r="K66">
        <v>1500</v>
      </c>
      <c r="L66" t="s">
        <v>79</v>
      </c>
      <c r="M66" t="s">
        <v>192</v>
      </c>
      <c r="N66" t="s">
        <v>108</v>
      </c>
      <c r="O66" t="s">
        <v>82</v>
      </c>
      <c r="P66" t="s">
        <v>193</v>
      </c>
      <c r="Q66" t="s">
        <v>84</v>
      </c>
      <c r="R66" t="s">
        <v>79</v>
      </c>
      <c r="S66">
        <v>12</v>
      </c>
      <c r="T66">
        <v>0</v>
      </c>
      <c r="U66" t="s">
        <v>79</v>
      </c>
      <c r="V66" t="s">
        <v>85</v>
      </c>
      <c r="W66" t="s">
        <v>87</v>
      </c>
      <c r="X66" t="s">
        <v>86</v>
      </c>
      <c r="Y66" t="s">
        <v>79</v>
      </c>
      <c r="Z66">
        <v>210</v>
      </c>
      <c r="AA66">
        <v>180</v>
      </c>
      <c r="AB66" t="s">
        <v>79</v>
      </c>
      <c r="AC66" t="s">
        <v>79</v>
      </c>
      <c r="AD66" t="s">
        <v>82</v>
      </c>
      <c r="AE66" t="s">
        <v>109</v>
      </c>
    </row>
    <row r="67" spans="1:31" x14ac:dyDescent="0.2">
      <c r="A67" t="s">
        <v>190</v>
      </c>
      <c r="B67" t="s">
        <v>191</v>
      </c>
      <c r="C67" t="s">
        <v>110</v>
      </c>
      <c r="D67" t="s">
        <v>111</v>
      </c>
      <c r="E67" t="s">
        <v>112</v>
      </c>
      <c r="F67">
        <v>2.2999999999999998</v>
      </c>
      <c r="H67" t="s">
        <v>79</v>
      </c>
      <c r="I67">
        <v>2000</v>
      </c>
      <c r="J67">
        <v>7300</v>
      </c>
      <c r="K67">
        <v>1500</v>
      </c>
      <c r="L67" t="s">
        <v>82</v>
      </c>
      <c r="M67" t="s">
        <v>192</v>
      </c>
      <c r="N67" t="s">
        <v>113</v>
      </c>
      <c r="O67" t="s">
        <v>82</v>
      </c>
      <c r="P67" t="s">
        <v>193</v>
      </c>
      <c r="Q67" t="s">
        <v>114</v>
      </c>
      <c r="R67" t="s">
        <v>79</v>
      </c>
      <c r="S67">
        <v>12</v>
      </c>
      <c r="T67">
        <v>0</v>
      </c>
      <c r="U67" t="s">
        <v>79</v>
      </c>
      <c r="V67" t="s">
        <v>85</v>
      </c>
      <c r="W67" t="s">
        <v>86</v>
      </c>
      <c r="X67" t="s">
        <v>86</v>
      </c>
      <c r="Y67" t="s">
        <v>82</v>
      </c>
      <c r="Z67">
        <v>210</v>
      </c>
      <c r="AA67">
        <v>180</v>
      </c>
      <c r="AB67" t="s">
        <v>79</v>
      </c>
      <c r="AC67" t="s">
        <v>79</v>
      </c>
      <c r="AD67" t="s">
        <v>82</v>
      </c>
      <c r="AE67" t="s">
        <v>194</v>
      </c>
    </row>
    <row r="68" spans="1:31" x14ac:dyDescent="0.2">
      <c r="A68" t="s">
        <v>190</v>
      </c>
      <c r="B68" t="s">
        <v>191</v>
      </c>
      <c r="C68" t="s">
        <v>116</v>
      </c>
      <c r="D68" t="s">
        <v>117</v>
      </c>
      <c r="E68" t="s">
        <v>107</v>
      </c>
      <c r="F68">
        <v>2.2999999999999998</v>
      </c>
      <c r="G68">
        <v>2.5</v>
      </c>
      <c r="H68" t="s">
        <v>79</v>
      </c>
      <c r="I68">
        <v>2000</v>
      </c>
      <c r="J68">
        <v>0</v>
      </c>
      <c r="K68">
        <v>1500</v>
      </c>
      <c r="L68" t="s">
        <v>79</v>
      </c>
      <c r="M68" t="s">
        <v>192</v>
      </c>
      <c r="N68" t="s">
        <v>108</v>
      </c>
      <c r="O68" t="s">
        <v>82</v>
      </c>
      <c r="P68" t="s">
        <v>193</v>
      </c>
      <c r="Q68" t="s">
        <v>84</v>
      </c>
      <c r="R68" t="s">
        <v>79</v>
      </c>
      <c r="S68">
        <v>12</v>
      </c>
      <c r="T68">
        <v>0</v>
      </c>
      <c r="U68" t="s">
        <v>79</v>
      </c>
      <c r="V68" t="s">
        <v>85</v>
      </c>
      <c r="W68" t="s">
        <v>87</v>
      </c>
      <c r="X68" t="s">
        <v>87</v>
      </c>
      <c r="Y68" t="s">
        <v>79</v>
      </c>
      <c r="Z68">
        <v>210</v>
      </c>
      <c r="AA68">
        <v>180</v>
      </c>
      <c r="AB68" t="s">
        <v>79</v>
      </c>
      <c r="AC68" t="s">
        <v>79</v>
      </c>
      <c r="AD68" t="s">
        <v>82</v>
      </c>
      <c r="AE68" t="s">
        <v>109</v>
      </c>
    </row>
    <row r="69" spans="1:31" x14ac:dyDescent="0.2">
      <c r="A69" t="s">
        <v>190</v>
      </c>
      <c r="B69" t="s">
        <v>191</v>
      </c>
      <c r="C69" t="s">
        <v>118</v>
      </c>
      <c r="D69" t="s">
        <v>119</v>
      </c>
      <c r="E69" t="s">
        <v>120</v>
      </c>
      <c r="F69">
        <v>2.2999999999999998</v>
      </c>
      <c r="H69" t="s">
        <v>79</v>
      </c>
      <c r="I69">
        <v>2000</v>
      </c>
      <c r="J69">
        <v>0</v>
      </c>
      <c r="K69">
        <v>1500</v>
      </c>
      <c r="L69" t="s">
        <v>79</v>
      </c>
      <c r="M69" t="s">
        <v>192</v>
      </c>
      <c r="N69" t="s">
        <v>121</v>
      </c>
      <c r="O69" t="s">
        <v>82</v>
      </c>
      <c r="P69" t="s">
        <v>193</v>
      </c>
      <c r="Q69" t="s">
        <v>84</v>
      </c>
      <c r="R69" t="s">
        <v>79</v>
      </c>
      <c r="S69">
        <v>12</v>
      </c>
      <c r="T69">
        <v>0</v>
      </c>
      <c r="U69" t="s">
        <v>79</v>
      </c>
      <c r="V69" t="s">
        <v>85</v>
      </c>
      <c r="W69" t="s">
        <v>87</v>
      </c>
      <c r="X69" t="s">
        <v>87</v>
      </c>
      <c r="Y69" t="s">
        <v>79</v>
      </c>
      <c r="Z69">
        <v>210</v>
      </c>
      <c r="AA69">
        <v>180</v>
      </c>
      <c r="AB69" t="s">
        <v>79</v>
      </c>
      <c r="AC69" t="s">
        <v>79</v>
      </c>
      <c r="AD69" t="s">
        <v>82</v>
      </c>
      <c r="AE69" t="s">
        <v>122</v>
      </c>
    </row>
    <row r="70" spans="1:31" x14ac:dyDescent="0.2">
      <c r="A70" t="s">
        <v>190</v>
      </c>
      <c r="B70" t="s">
        <v>191</v>
      </c>
      <c r="C70" t="s">
        <v>123</v>
      </c>
      <c r="D70" t="s">
        <v>124</v>
      </c>
      <c r="E70" t="s">
        <v>125</v>
      </c>
      <c r="F70">
        <v>2.2999999999999998</v>
      </c>
      <c r="H70" t="s">
        <v>79</v>
      </c>
      <c r="I70">
        <v>2000</v>
      </c>
      <c r="J70">
        <v>0</v>
      </c>
      <c r="K70">
        <v>1500</v>
      </c>
      <c r="L70" t="s">
        <v>79</v>
      </c>
      <c r="M70" t="s">
        <v>192</v>
      </c>
      <c r="N70" t="s">
        <v>126</v>
      </c>
      <c r="O70" t="s">
        <v>82</v>
      </c>
      <c r="P70" t="s">
        <v>193</v>
      </c>
      <c r="Q70" t="s">
        <v>84</v>
      </c>
      <c r="R70" t="s">
        <v>79</v>
      </c>
      <c r="S70">
        <v>12</v>
      </c>
      <c r="T70">
        <v>0</v>
      </c>
      <c r="U70" t="s">
        <v>79</v>
      </c>
      <c r="V70" t="s">
        <v>85</v>
      </c>
      <c r="W70" t="s">
        <v>87</v>
      </c>
      <c r="X70" t="s">
        <v>87</v>
      </c>
      <c r="Y70" t="s">
        <v>79</v>
      </c>
      <c r="Z70">
        <v>210</v>
      </c>
      <c r="AA70">
        <v>180</v>
      </c>
      <c r="AB70" t="s">
        <v>79</v>
      </c>
      <c r="AC70" t="s">
        <v>79</v>
      </c>
      <c r="AD70" t="s">
        <v>82</v>
      </c>
      <c r="AE70" t="s">
        <v>127</v>
      </c>
    </row>
    <row r="71" spans="1:31" x14ac:dyDescent="0.2">
      <c r="A71" t="s">
        <v>190</v>
      </c>
      <c r="B71" t="s">
        <v>191</v>
      </c>
      <c r="C71" t="s">
        <v>128</v>
      </c>
      <c r="D71" t="s">
        <v>129</v>
      </c>
      <c r="E71" t="s">
        <v>130</v>
      </c>
      <c r="F71">
        <v>2.2999999999999998</v>
      </c>
      <c r="G71">
        <v>2.5</v>
      </c>
      <c r="H71" t="s">
        <v>79</v>
      </c>
      <c r="I71">
        <v>2000</v>
      </c>
      <c r="J71">
        <v>0</v>
      </c>
      <c r="K71">
        <v>1500</v>
      </c>
      <c r="L71" t="s">
        <v>79</v>
      </c>
      <c r="M71" t="s">
        <v>192</v>
      </c>
      <c r="N71" t="s">
        <v>131</v>
      </c>
      <c r="O71" t="s">
        <v>82</v>
      </c>
      <c r="P71" t="s">
        <v>193</v>
      </c>
      <c r="Q71" t="s">
        <v>84</v>
      </c>
      <c r="R71" t="s">
        <v>79</v>
      </c>
      <c r="S71">
        <v>12</v>
      </c>
      <c r="T71">
        <v>0</v>
      </c>
      <c r="U71" t="s">
        <v>79</v>
      </c>
      <c r="V71" t="s">
        <v>85</v>
      </c>
      <c r="W71" t="s">
        <v>87</v>
      </c>
      <c r="X71" t="s">
        <v>86</v>
      </c>
      <c r="Y71" t="s">
        <v>79</v>
      </c>
      <c r="Z71">
        <v>210</v>
      </c>
      <c r="AA71">
        <v>180</v>
      </c>
      <c r="AB71" t="s">
        <v>79</v>
      </c>
      <c r="AC71" t="s">
        <v>79</v>
      </c>
      <c r="AD71" t="s">
        <v>82</v>
      </c>
      <c r="AE71" t="s">
        <v>132</v>
      </c>
    </row>
    <row r="72" spans="1:31" x14ac:dyDescent="0.2">
      <c r="A72" t="s">
        <v>190</v>
      </c>
      <c r="B72" t="s">
        <v>191</v>
      </c>
      <c r="C72" t="s">
        <v>133</v>
      </c>
      <c r="D72" t="s">
        <v>134</v>
      </c>
      <c r="E72" t="s">
        <v>120</v>
      </c>
      <c r="F72">
        <v>2.2999999999999998</v>
      </c>
      <c r="G72">
        <v>3</v>
      </c>
      <c r="H72" t="s">
        <v>79</v>
      </c>
      <c r="I72">
        <v>2000</v>
      </c>
      <c r="J72">
        <v>0</v>
      </c>
      <c r="K72">
        <v>1500</v>
      </c>
      <c r="L72" t="s">
        <v>79</v>
      </c>
      <c r="M72" t="s">
        <v>192</v>
      </c>
      <c r="N72" t="s">
        <v>121</v>
      </c>
      <c r="O72" t="s">
        <v>82</v>
      </c>
      <c r="P72" t="s">
        <v>193</v>
      </c>
      <c r="Q72" t="s">
        <v>84</v>
      </c>
      <c r="R72" t="s">
        <v>79</v>
      </c>
      <c r="S72">
        <v>12</v>
      </c>
      <c r="T72">
        <v>0</v>
      </c>
      <c r="U72" t="s">
        <v>79</v>
      </c>
      <c r="V72" t="s">
        <v>85</v>
      </c>
      <c r="W72" t="s">
        <v>87</v>
      </c>
      <c r="X72" t="s">
        <v>87</v>
      </c>
      <c r="Y72" t="s">
        <v>79</v>
      </c>
      <c r="Z72">
        <v>210</v>
      </c>
      <c r="AA72">
        <v>180</v>
      </c>
      <c r="AB72" t="s">
        <v>79</v>
      </c>
      <c r="AC72" t="s">
        <v>98</v>
      </c>
      <c r="AD72" t="s">
        <v>98</v>
      </c>
      <c r="AE72" t="s">
        <v>135</v>
      </c>
    </row>
    <row r="73" spans="1:31" x14ac:dyDescent="0.2">
      <c r="A73" t="s">
        <v>190</v>
      </c>
      <c r="B73" t="s">
        <v>191</v>
      </c>
      <c r="C73" t="s">
        <v>136</v>
      </c>
      <c r="D73" t="s">
        <v>137</v>
      </c>
      <c r="E73" t="s">
        <v>138</v>
      </c>
      <c r="F73">
        <v>2.2999999999999998</v>
      </c>
      <c r="H73" t="s">
        <v>79</v>
      </c>
      <c r="I73">
        <v>2000</v>
      </c>
      <c r="J73">
        <v>0</v>
      </c>
      <c r="K73">
        <v>1500</v>
      </c>
      <c r="L73" t="s">
        <v>79</v>
      </c>
      <c r="M73" t="s">
        <v>192</v>
      </c>
      <c r="N73" t="s">
        <v>139</v>
      </c>
      <c r="O73" t="s">
        <v>79</v>
      </c>
      <c r="P73" t="s">
        <v>193</v>
      </c>
      <c r="Q73" t="s">
        <v>84</v>
      </c>
      <c r="R73" t="s">
        <v>79</v>
      </c>
      <c r="S73">
        <v>12</v>
      </c>
      <c r="T73">
        <v>0</v>
      </c>
      <c r="U73" t="s">
        <v>79</v>
      </c>
      <c r="V73" t="s">
        <v>85</v>
      </c>
      <c r="W73" t="s">
        <v>87</v>
      </c>
      <c r="X73" t="s">
        <v>86</v>
      </c>
      <c r="Y73" t="s">
        <v>79</v>
      </c>
      <c r="Z73">
        <v>210</v>
      </c>
      <c r="AA73">
        <v>180</v>
      </c>
      <c r="AB73" t="s">
        <v>79</v>
      </c>
      <c r="AC73" t="s">
        <v>98</v>
      </c>
      <c r="AD73" t="s">
        <v>98</v>
      </c>
      <c r="AE73" t="s">
        <v>140</v>
      </c>
    </row>
    <row r="74" spans="1:31" x14ac:dyDescent="0.2">
      <c r="A74" t="s">
        <v>190</v>
      </c>
      <c r="B74" t="s">
        <v>191</v>
      </c>
      <c r="C74" t="s">
        <v>141</v>
      </c>
      <c r="D74" t="s">
        <v>142</v>
      </c>
      <c r="E74" t="s">
        <v>102</v>
      </c>
      <c r="F74">
        <v>2.2999999999999998</v>
      </c>
      <c r="H74" t="s">
        <v>79</v>
      </c>
      <c r="I74">
        <v>2000</v>
      </c>
      <c r="J74">
        <v>0</v>
      </c>
      <c r="K74">
        <v>1500</v>
      </c>
      <c r="L74" t="s">
        <v>79</v>
      </c>
      <c r="M74" t="s">
        <v>192</v>
      </c>
      <c r="N74" t="s">
        <v>143</v>
      </c>
      <c r="O74" t="s">
        <v>82</v>
      </c>
      <c r="P74" t="s">
        <v>193</v>
      </c>
      <c r="Q74" t="s">
        <v>84</v>
      </c>
      <c r="R74" t="s">
        <v>79</v>
      </c>
      <c r="S74">
        <v>12</v>
      </c>
      <c r="T74">
        <v>0</v>
      </c>
      <c r="U74" t="s">
        <v>79</v>
      </c>
      <c r="V74" t="s">
        <v>85</v>
      </c>
      <c r="W74" t="s">
        <v>87</v>
      </c>
      <c r="X74" t="s">
        <v>87</v>
      </c>
      <c r="Y74" t="s">
        <v>79</v>
      </c>
      <c r="Z74">
        <v>210</v>
      </c>
      <c r="AA74">
        <v>180</v>
      </c>
      <c r="AB74" t="s">
        <v>79</v>
      </c>
      <c r="AC74" t="s">
        <v>79</v>
      </c>
      <c r="AD74" t="s">
        <v>82</v>
      </c>
      <c r="AE74" t="s">
        <v>144</v>
      </c>
    </row>
    <row r="75" spans="1:31" x14ac:dyDescent="0.2">
      <c r="A75" t="s">
        <v>190</v>
      </c>
      <c r="B75" t="s">
        <v>191</v>
      </c>
      <c r="C75" t="s">
        <v>145</v>
      </c>
      <c r="D75" t="s">
        <v>146</v>
      </c>
      <c r="E75" t="s">
        <v>147</v>
      </c>
      <c r="F75">
        <v>2.2999999999999998</v>
      </c>
      <c r="H75" t="s">
        <v>79</v>
      </c>
      <c r="I75">
        <v>2000</v>
      </c>
      <c r="J75">
        <v>0</v>
      </c>
      <c r="K75">
        <v>1500</v>
      </c>
      <c r="L75" t="s">
        <v>79</v>
      </c>
      <c r="M75" t="s">
        <v>192</v>
      </c>
      <c r="N75" t="s">
        <v>148</v>
      </c>
      <c r="O75" t="s">
        <v>82</v>
      </c>
      <c r="P75" t="s">
        <v>193</v>
      </c>
      <c r="Q75" t="s">
        <v>84</v>
      </c>
      <c r="R75" t="s">
        <v>79</v>
      </c>
      <c r="S75">
        <v>12</v>
      </c>
      <c r="T75">
        <v>0</v>
      </c>
      <c r="U75" t="s">
        <v>79</v>
      </c>
      <c r="V75" t="s">
        <v>85</v>
      </c>
      <c r="W75" t="s">
        <v>87</v>
      </c>
      <c r="X75" t="s">
        <v>86</v>
      </c>
      <c r="Y75" t="s">
        <v>79</v>
      </c>
      <c r="Z75">
        <v>210</v>
      </c>
      <c r="AA75">
        <v>180</v>
      </c>
      <c r="AB75" t="s">
        <v>79</v>
      </c>
      <c r="AC75" t="s">
        <v>79</v>
      </c>
      <c r="AD75" t="s">
        <v>82</v>
      </c>
      <c r="AE75" t="s">
        <v>149</v>
      </c>
    </row>
    <row r="76" spans="1:31" x14ac:dyDescent="0.2">
      <c r="A76" t="s">
        <v>190</v>
      </c>
      <c r="B76" t="s">
        <v>191</v>
      </c>
      <c r="C76" t="s">
        <v>150</v>
      </c>
      <c r="D76" t="s">
        <v>151</v>
      </c>
      <c r="E76" t="s">
        <v>138</v>
      </c>
      <c r="F76">
        <v>2.2999999999999998</v>
      </c>
      <c r="H76" t="s">
        <v>79</v>
      </c>
      <c r="I76">
        <v>2000</v>
      </c>
      <c r="J76">
        <v>0</v>
      </c>
      <c r="K76">
        <v>1500</v>
      </c>
      <c r="L76" t="s">
        <v>79</v>
      </c>
      <c r="M76" t="s">
        <v>192</v>
      </c>
      <c r="N76" t="s">
        <v>139</v>
      </c>
      <c r="O76" t="s">
        <v>79</v>
      </c>
      <c r="P76" t="s">
        <v>193</v>
      </c>
      <c r="Q76" t="s">
        <v>84</v>
      </c>
      <c r="R76" t="s">
        <v>79</v>
      </c>
      <c r="S76">
        <v>12</v>
      </c>
      <c r="T76">
        <v>0</v>
      </c>
      <c r="U76" t="s">
        <v>79</v>
      </c>
      <c r="V76" t="s">
        <v>85</v>
      </c>
      <c r="W76" t="s">
        <v>87</v>
      </c>
      <c r="X76" t="s">
        <v>86</v>
      </c>
      <c r="Y76" t="s">
        <v>79</v>
      </c>
      <c r="Z76">
        <v>210</v>
      </c>
      <c r="AA76">
        <v>180</v>
      </c>
      <c r="AB76" t="s">
        <v>79</v>
      </c>
      <c r="AC76" t="s">
        <v>98</v>
      </c>
      <c r="AD76" t="s">
        <v>98</v>
      </c>
      <c r="AE76" t="s">
        <v>152</v>
      </c>
    </row>
    <row r="77" spans="1:31" x14ac:dyDescent="0.2">
      <c r="A77" t="s">
        <v>190</v>
      </c>
      <c r="B77" t="s">
        <v>191</v>
      </c>
      <c r="C77" t="s">
        <v>153</v>
      </c>
      <c r="D77" t="s">
        <v>154</v>
      </c>
      <c r="E77" t="s">
        <v>155</v>
      </c>
      <c r="F77">
        <v>2.2999999999999998</v>
      </c>
      <c r="H77" t="s">
        <v>79</v>
      </c>
      <c r="I77">
        <v>2000</v>
      </c>
      <c r="J77">
        <v>5040</v>
      </c>
      <c r="K77">
        <v>6950</v>
      </c>
      <c r="L77" t="s">
        <v>82</v>
      </c>
      <c r="M77" t="s">
        <v>192</v>
      </c>
      <c r="N77" t="s">
        <v>156</v>
      </c>
      <c r="O77" t="s">
        <v>82</v>
      </c>
      <c r="P77" t="s">
        <v>193</v>
      </c>
      <c r="Q77" t="s">
        <v>84</v>
      </c>
      <c r="R77" t="s">
        <v>79</v>
      </c>
      <c r="S77">
        <v>12</v>
      </c>
      <c r="T77">
        <v>0</v>
      </c>
      <c r="U77" t="s">
        <v>79</v>
      </c>
      <c r="V77" t="s">
        <v>85</v>
      </c>
      <c r="W77" t="s">
        <v>86</v>
      </c>
      <c r="X77" t="s">
        <v>86</v>
      </c>
      <c r="Y77" t="s">
        <v>82</v>
      </c>
      <c r="Z77">
        <v>210</v>
      </c>
      <c r="AA77">
        <v>180</v>
      </c>
      <c r="AB77" t="s">
        <v>79</v>
      </c>
      <c r="AC77" t="s">
        <v>79</v>
      </c>
      <c r="AD77" t="s">
        <v>82</v>
      </c>
      <c r="AE77" t="s">
        <v>195</v>
      </c>
    </row>
    <row r="78" spans="1:31" x14ac:dyDescent="0.2">
      <c r="A78" t="s">
        <v>190</v>
      </c>
      <c r="B78" t="s">
        <v>191</v>
      </c>
      <c r="C78" t="s">
        <v>158</v>
      </c>
      <c r="D78" t="s">
        <v>159</v>
      </c>
      <c r="E78" t="s">
        <v>155</v>
      </c>
      <c r="F78">
        <v>2.2999999999999998</v>
      </c>
      <c r="H78" t="s">
        <v>79</v>
      </c>
      <c r="I78">
        <v>2000</v>
      </c>
      <c r="J78">
        <v>4500</v>
      </c>
      <c r="K78">
        <v>5450</v>
      </c>
      <c r="L78" t="s">
        <v>82</v>
      </c>
      <c r="M78" t="s">
        <v>192</v>
      </c>
      <c r="N78" t="s">
        <v>156</v>
      </c>
      <c r="O78" t="s">
        <v>82</v>
      </c>
      <c r="P78" t="s">
        <v>193</v>
      </c>
      <c r="Q78" t="s">
        <v>84</v>
      </c>
      <c r="R78" t="s">
        <v>79</v>
      </c>
      <c r="S78">
        <v>12</v>
      </c>
      <c r="T78">
        <v>0</v>
      </c>
      <c r="U78" t="s">
        <v>79</v>
      </c>
      <c r="V78" t="s">
        <v>85</v>
      </c>
      <c r="W78" t="s">
        <v>86</v>
      </c>
      <c r="X78" t="s">
        <v>86</v>
      </c>
      <c r="Y78" t="s">
        <v>82</v>
      </c>
      <c r="Z78">
        <v>210</v>
      </c>
      <c r="AA78">
        <v>180</v>
      </c>
      <c r="AB78" t="s">
        <v>79</v>
      </c>
      <c r="AC78" t="s">
        <v>79</v>
      </c>
      <c r="AD78" t="s">
        <v>82</v>
      </c>
      <c r="AE78" t="s">
        <v>196</v>
      </c>
    </row>
    <row r="79" spans="1:31" x14ac:dyDescent="0.2">
      <c r="A79" t="s">
        <v>190</v>
      </c>
      <c r="B79" t="s">
        <v>191</v>
      </c>
      <c r="C79" t="s">
        <v>161</v>
      </c>
      <c r="D79" t="s">
        <v>162</v>
      </c>
      <c r="E79" t="s">
        <v>130</v>
      </c>
      <c r="F79">
        <v>2.2999999999999998</v>
      </c>
      <c r="G79">
        <v>2.5</v>
      </c>
      <c r="H79" t="s">
        <v>79</v>
      </c>
      <c r="I79">
        <v>2000</v>
      </c>
      <c r="J79">
        <v>0</v>
      </c>
      <c r="K79">
        <v>1500</v>
      </c>
      <c r="L79" t="s">
        <v>79</v>
      </c>
      <c r="M79" t="s">
        <v>192</v>
      </c>
      <c r="N79" t="s">
        <v>131</v>
      </c>
      <c r="O79" t="s">
        <v>82</v>
      </c>
      <c r="P79" t="s">
        <v>193</v>
      </c>
      <c r="Q79" t="s">
        <v>84</v>
      </c>
      <c r="R79" t="s">
        <v>79</v>
      </c>
      <c r="S79">
        <v>12</v>
      </c>
      <c r="T79">
        <v>0</v>
      </c>
      <c r="U79" t="s">
        <v>79</v>
      </c>
      <c r="V79" t="s">
        <v>85</v>
      </c>
      <c r="W79" t="s">
        <v>87</v>
      </c>
      <c r="X79" t="s">
        <v>86</v>
      </c>
      <c r="Y79" t="s">
        <v>79</v>
      </c>
      <c r="Z79">
        <v>210</v>
      </c>
      <c r="AA79">
        <v>180</v>
      </c>
      <c r="AB79" t="s">
        <v>79</v>
      </c>
      <c r="AC79" t="s">
        <v>79</v>
      </c>
      <c r="AD79" t="s">
        <v>82</v>
      </c>
      <c r="AE79" t="s">
        <v>132</v>
      </c>
    </row>
    <row r="80" spans="1:31" x14ac:dyDescent="0.2">
      <c r="A80" t="s">
        <v>190</v>
      </c>
      <c r="B80" t="s">
        <v>191</v>
      </c>
      <c r="C80" t="s">
        <v>163</v>
      </c>
      <c r="D80" t="s">
        <v>164</v>
      </c>
      <c r="E80" t="s">
        <v>130</v>
      </c>
      <c r="F80">
        <v>2.2999999999999998</v>
      </c>
      <c r="H80" t="s">
        <v>79</v>
      </c>
      <c r="I80">
        <v>2000</v>
      </c>
      <c r="J80">
        <v>0</v>
      </c>
      <c r="K80">
        <v>1500</v>
      </c>
      <c r="L80" t="s">
        <v>79</v>
      </c>
      <c r="M80" t="s">
        <v>192</v>
      </c>
      <c r="N80" t="s">
        <v>131</v>
      </c>
      <c r="O80" t="s">
        <v>82</v>
      </c>
      <c r="P80" t="s">
        <v>193</v>
      </c>
      <c r="Q80" t="s">
        <v>84</v>
      </c>
      <c r="R80" t="s">
        <v>79</v>
      </c>
      <c r="S80">
        <v>12</v>
      </c>
      <c r="T80">
        <v>0</v>
      </c>
      <c r="U80" t="s">
        <v>79</v>
      </c>
      <c r="V80" t="s">
        <v>85</v>
      </c>
      <c r="W80" t="s">
        <v>87</v>
      </c>
      <c r="X80" t="s">
        <v>87</v>
      </c>
      <c r="Y80" t="s">
        <v>79</v>
      </c>
      <c r="Z80">
        <v>210</v>
      </c>
      <c r="AA80">
        <v>180</v>
      </c>
      <c r="AB80" t="s">
        <v>79</v>
      </c>
      <c r="AC80" t="s">
        <v>98</v>
      </c>
      <c r="AD80" t="s">
        <v>98</v>
      </c>
      <c r="AE80" t="s">
        <v>165</v>
      </c>
    </row>
    <row r="81" spans="1:31" x14ac:dyDescent="0.2">
      <c r="A81" t="s">
        <v>190</v>
      </c>
      <c r="B81" t="s">
        <v>191</v>
      </c>
      <c r="C81" t="s">
        <v>166</v>
      </c>
      <c r="D81" t="s">
        <v>167</v>
      </c>
      <c r="E81" t="s">
        <v>168</v>
      </c>
      <c r="F81">
        <v>2.2999999999999998</v>
      </c>
      <c r="G81">
        <v>2.5</v>
      </c>
      <c r="H81" t="s">
        <v>79</v>
      </c>
      <c r="I81">
        <v>2000</v>
      </c>
      <c r="J81">
        <v>0</v>
      </c>
      <c r="K81">
        <v>1500</v>
      </c>
      <c r="L81" t="s">
        <v>79</v>
      </c>
      <c r="M81" t="s">
        <v>192</v>
      </c>
      <c r="N81" t="s">
        <v>169</v>
      </c>
      <c r="O81" t="s">
        <v>82</v>
      </c>
      <c r="P81" t="s">
        <v>193</v>
      </c>
      <c r="Q81" t="s">
        <v>84</v>
      </c>
      <c r="R81" t="s">
        <v>79</v>
      </c>
      <c r="S81">
        <v>12</v>
      </c>
      <c r="T81">
        <v>0</v>
      </c>
      <c r="U81" t="s">
        <v>79</v>
      </c>
      <c r="V81" t="s">
        <v>85</v>
      </c>
      <c r="W81" t="s">
        <v>87</v>
      </c>
      <c r="X81" t="s">
        <v>86</v>
      </c>
      <c r="Y81" t="s">
        <v>79</v>
      </c>
      <c r="Z81">
        <v>210</v>
      </c>
      <c r="AA81">
        <v>180</v>
      </c>
      <c r="AB81" t="s">
        <v>79</v>
      </c>
      <c r="AC81" t="s">
        <v>98</v>
      </c>
      <c r="AD81" t="s">
        <v>98</v>
      </c>
      <c r="AE81" t="s">
        <v>170</v>
      </c>
    </row>
    <row r="82" spans="1:31" x14ac:dyDescent="0.2">
      <c r="A82" t="s">
        <v>197</v>
      </c>
      <c r="B82" t="s">
        <v>198</v>
      </c>
      <c r="C82" t="s">
        <v>76</v>
      </c>
      <c r="D82" t="s">
        <v>77</v>
      </c>
      <c r="E82" t="s">
        <v>78</v>
      </c>
      <c r="F82">
        <v>2</v>
      </c>
      <c r="H82" t="s">
        <v>79</v>
      </c>
      <c r="I82">
        <v>4000</v>
      </c>
      <c r="J82">
        <v>750</v>
      </c>
      <c r="K82">
        <v>1500</v>
      </c>
      <c r="L82" t="s">
        <v>79</v>
      </c>
      <c r="M82" t="s">
        <v>173</v>
      </c>
      <c r="N82" t="s">
        <v>81</v>
      </c>
      <c r="O82" t="s">
        <v>79</v>
      </c>
      <c r="P82" t="s">
        <v>199</v>
      </c>
      <c r="Q82" t="s">
        <v>84</v>
      </c>
      <c r="R82" t="s">
        <v>79</v>
      </c>
      <c r="S82">
        <v>24</v>
      </c>
      <c r="T82">
        <v>0</v>
      </c>
      <c r="U82" t="s">
        <v>79</v>
      </c>
      <c r="W82" t="s">
        <v>86</v>
      </c>
      <c r="X82" t="s">
        <v>87</v>
      </c>
      <c r="Y82" t="s">
        <v>79</v>
      </c>
      <c r="Z82">
        <v>240</v>
      </c>
      <c r="AA82">
        <v>180</v>
      </c>
      <c r="AB82" t="s">
        <v>79</v>
      </c>
      <c r="AC82" t="s">
        <v>79</v>
      </c>
      <c r="AD82" t="s">
        <v>79</v>
      </c>
      <c r="AE82" t="s">
        <v>176</v>
      </c>
    </row>
    <row r="83" spans="1:31" x14ac:dyDescent="0.2">
      <c r="A83" t="s">
        <v>197</v>
      </c>
      <c r="B83" t="s">
        <v>198</v>
      </c>
      <c r="C83" t="s">
        <v>89</v>
      </c>
      <c r="D83" t="s">
        <v>90</v>
      </c>
      <c r="E83" t="s">
        <v>91</v>
      </c>
      <c r="F83">
        <v>2</v>
      </c>
      <c r="H83" t="s">
        <v>79</v>
      </c>
      <c r="I83">
        <v>4000</v>
      </c>
      <c r="J83">
        <v>0</v>
      </c>
      <c r="K83">
        <v>1500</v>
      </c>
      <c r="L83" t="s">
        <v>79</v>
      </c>
      <c r="M83" t="s">
        <v>173</v>
      </c>
      <c r="N83" t="s">
        <v>92</v>
      </c>
      <c r="O83" t="s">
        <v>79</v>
      </c>
      <c r="P83" t="s">
        <v>199</v>
      </c>
      <c r="Q83" t="s">
        <v>84</v>
      </c>
      <c r="R83" t="s">
        <v>79</v>
      </c>
      <c r="S83">
        <v>24</v>
      </c>
      <c r="T83">
        <v>0</v>
      </c>
      <c r="U83" t="s">
        <v>79</v>
      </c>
      <c r="W83" t="s">
        <v>87</v>
      </c>
      <c r="X83" t="s">
        <v>87</v>
      </c>
      <c r="Y83" t="s">
        <v>79</v>
      </c>
      <c r="Z83">
        <v>240</v>
      </c>
      <c r="AA83">
        <v>180</v>
      </c>
      <c r="AB83" t="s">
        <v>79</v>
      </c>
      <c r="AC83" t="s">
        <v>79</v>
      </c>
      <c r="AD83" t="s">
        <v>79</v>
      </c>
      <c r="AE83" t="s">
        <v>176</v>
      </c>
    </row>
    <row r="84" spans="1:31" x14ac:dyDescent="0.2">
      <c r="A84" t="s">
        <v>197</v>
      </c>
      <c r="B84" t="s">
        <v>198</v>
      </c>
      <c r="C84" t="s">
        <v>94</v>
      </c>
      <c r="D84" t="s">
        <v>95</v>
      </c>
      <c r="E84" t="s">
        <v>96</v>
      </c>
      <c r="F84">
        <v>2</v>
      </c>
      <c r="G84">
        <v>2.5</v>
      </c>
      <c r="H84" t="s">
        <v>79</v>
      </c>
      <c r="I84">
        <v>4000</v>
      </c>
      <c r="J84">
        <v>0</v>
      </c>
      <c r="K84">
        <v>1500</v>
      </c>
      <c r="L84" t="s">
        <v>79</v>
      </c>
      <c r="M84" t="s">
        <v>173</v>
      </c>
      <c r="N84" t="s">
        <v>97</v>
      </c>
      <c r="O84" t="s">
        <v>79</v>
      </c>
      <c r="P84" t="s">
        <v>199</v>
      </c>
      <c r="Q84" t="s">
        <v>84</v>
      </c>
      <c r="R84" t="s">
        <v>79</v>
      </c>
      <c r="S84">
        <v>24</v>
      </c>
      <c r="T84">
        <v>0</v>
      </c>
      <c r="U84" t="s">
        <v>79</v>
      </c>
      <c r="W84" t="s">
        <v>87</v>
      </c>
      <c r="X84" t="s">
        <v>86</v>
      </c>
      <c r="Y84" t="s">
        <v>79</v>
      </c>
      <c r="Z84">
        <v>240</v>
      </c>
      <c r="AA84">
        <v>180</v>
      </c>
      <c r="AB84" t="s">
        <v>79</v>
      </c>
      <c r="AC84" t="s">
        <v>98</v>
      </c>
      <c r="AD84" t="s">
        <v>98</v>
      </c>
      <c r="AE84" t="s">
        <v>177</v>
      </c>
    </row>
    <row r="85" spans="1:31" x14ac:dyDescent="0.2">
      <c r="A85" t="s">
        <v>197</v>
      </c>
      <c r="B85" t="s">
        <v>198</v>
      </c>
      <c r="C85" t="s">
        <v>100</v>
      </c>
      <c r="D85" t="s">
        <v>101</v>
      </c>
      <c r="E85" t="s">
        <v>102</v>
      </c>
      <c r="F85">
        <v>2</v>
      </c>
      <c r="H85" t="s">
        <v>79</v>
      </c>
      <c r="I85">
        <v>4000</v>
      </c>
      <c r="J85">
        <v>0</v>
      </c>
      <c r="K85">
        <v>1500</v>
      </c>
      <c r="L85" t="s">
        <v>79</v>
      </c>
      <c r="M85" t="s">
        <v>173</v>
      </c>
      <c r="N85" t="s">
        <v>103</v>
      </c>
      <c r="O85" t="s">
        <v>79</v>
      </c>
      <c r="P85" t="s">
        <v>199</v>
      </c>
      <c r="Q85" t="s">
        <v>84</v>
      </c>
      <c r="R85" t="s">
        <v>79</v>
      </c>
      <c r="S85">
        <v>24</v>
      </c>
      <c r="T85">
        <v>0</v>
      </c>
      <c r="U85" t="s">
        <v>79</v>
      </c>
      <c r="W85" t="s">
        <v>87</v>
      </c>
      <c r="X85" t="s">
        <v>87</v>
      </c>
      <c r="Y85" t="s">
        <v>79</v>
      </c>
      <c r="Z85">
        <v>240</v>
      </c>
      <c r="AA85">
        <v>180</v>
      </c>
      <c r="AB85" t="s">
        <v>79</v>
      </c>
      <c r="AC85" t="s">
        <v>79</v>
      </c>
      <c r="AD85" t="s">
        <v>79</v>
      </c>
      <c r="AE85" t="s">
        <v>176</v>
      </c>
    </row>
    <row r="86" spans="1:31" x14ac:dyDescent="0.2">
      <c r="A86" t="s">
        <v>197</v>
      </c>
      <c r="B86" t="s">
        <v>198</v>
      </c>
      <c r="C86" t="s">
        <v>105</v>
      </c>
      <c r="D86" t="s">
        <v>106</v>
      </c>
      <c r="E86" t="s">
        <v>107</v>
      </c>
      <c r="F86">
        <v>2</v>
      </c>
      <c r="G86">
        <v>2.5</v>
      </c>
      <c r="H86" t="s">
        <v>79</v>
      </c>
      <c r="I86">
        <v>4000</v>
      </c>
      <c r="J86">
        <v>0</v>
      </c>
      <c r="K86">
        <v>1500</v>
      </c>
      <c r="L86" t="s">
        <v>79</v>
      </c>
      <c r="M86" t="s">
        <v>173</v>
      </c>
      <c r="N86" t="s">
        <v>108</v>
      </c>
      <c r="O86" t="s">
        <v>79</v>
      </c>
      <c r="P86" t="s">
        <v>199</v>
      </c>
      <c r="Q86" t="s">
        <v>84</v>
      </c>
      <c r="R86" t="s">
        <v>79</v>
      </c>
      <c r="S86">
        <v>24</v>
      </c>
      <c r="T86">
        <v>0</v>
      </c>
      <c r="U86" t="s">
        <v>79</v>
      </c>
      <c r="W86" t="s">
        <v>87</v>
      </c>
      <c r="X86" t="s">
        <v>86</v>
      </c>
      <c r="Y86" t="s">
        <v>79</v>
      </c>
      <c r="Z86">
        <v>240</v>
      </c>
      <c r="AA86">
        <v>180</v>
      </c>
      <c r="AB86" t="s">
        <v>79</v>
      </c>
      <c r="AC86" t="s">
        <v>79</v>
      </c>
      <c r="AD86" t="s">
        <v>79</v>
      </c>
      <c r="AE86" t="s">
        <v>176</v>
      </c>
    </row>
    <row r="87" spans="1:31" x14ac:dyDescent="0.2">
      <c r="A87" t="s">
        <v>197</v>
      </c>
      <c r="B87" t="s">
        <v>198</v>
      </c>
      <c r="C87" t="s">
        <v>110</v>
      </c>
      <c r="D87" t="s">
        <v>111</v>
      </c>
      <c r="E87" t="s">
        <v>112</v>
      </c>
      <c r="F87">
        <v>2</v>
      </c>
      <c r="H87" t="s">
        <v>79</v>
      </c>
      <c r="I87">
        <v>4000</v>
      </c>
      <c r="J87">
        <v>7300</v>
      </c>
      <c r="K87">
        <v>1500</v>
      </c>
      <c r="L87" t="s">
        <v>79</v>
      </c>
      <c r="M87" t="s">
        <v>173</v>
      </c>
      <c r="N87" t="s">
        <v>113</v>
      </c>
      <c r="O87" t="s">
        <v>79</v>
      </c>
      <c r="P87" t="s">
        <v>199</v>
      </c>
      <c r="Q87" t="s">
        <v>114</v>
      </c>
      <c r="R87" t="s">
        <v>82</v>
      </c>
      <c r="S87">
        <v>24</v>
      </c>
      <c r="T87">
        <v>0</v>
      </c>
      <c r="U87" t="s">
        <v>79</v>
      </c>
      <c r="W87" t="s">
        <v>86</v>
      </c>
      <c r="X87" t="s">
        <v>86</v>
      </c>
      <c r="Y87" t="s">
        <v>79</v>
      </c>
      <c r="Z87">
        <v>240</v>
      </c>
      <c r="AA87">
        <v>180</v>
      </c>
      <c r="AB87" t="s">
        <v>79</v>
      </c>
      <c r="AC87" t="s">
        <v>79</v>
      </c>
      <c r="AD87" t="s">
        <v>82</v>
      </c>
      <c r="AE87" t="s">
        <v>200</v>
      </c>
    </row>
    <row r="88" spans="1:31" x14ac:dyDescent="0.2">
      <c r="A88" t="s">
        <v>197</v>
      </c>
      <c r="B88" t="s">
        <v>198</v>
      </c>
      <c r="C88" t="s">
        <v>116</v>
      </c>
      <c r="D88" t="s">
        <v>117</v>
      </c>
      <c r="E88" t="s">
        <v>107</v>
      </c>
      <c r="F88">
        <v>2</v>
      </c>
      <c r="G88">
        <v>2.5</v>
      </c>
      <c r="H88" t="s">
        <v>79</v>
      </c>
      <c r="I88">
        <v>4000</v>
      </c>
      <c r="J88">
        <v>0</v>
      </c>
      <c r="K88">
        <v>1500</v>
      </c>
      <c r="L88" t="s">
        <v>79</v>
      </c>
      <c r="M88" t="s">
        <v>173</v>
      </c>
      <c r="N88" t="s">
        <v>108</v>
      </c>
      <c r="O88" t="s">
        <v>79</v>
      </c>
      <c r="P88" t="s">
        <v>199</v>
      </c>
      <c r="Q88" t="s">
        <v>84</v>
      </c>
      <c r="R88" t="s">
        <v>79</v>
      </c>
      <c r="S88">
        <v>24</v>
      </c>
      <c r="T88">
        <v>0</v>
      </c>
      <c r="U88" t="s">
        <v>79</v>
      </c>
      <c r="W88" t="s">
        <v>87</v>
      </c>
      <c r="X88" t="s">
        <v>87</v>
      </c>
      <c r="Y88" t="s">
        <v>79</v>
      </c>
      <c r="Z88">
        <v>240</v>
      </c>
      <c r="AA88">
        <v>180</v>
      </c>
      <c r="AB88" t="s">
        <v>79</v>
      </c>
      <c r="AC88" t="s">
        <v>79</v>
      </c>
      <c r="AD88" t="s">
        <v>79</v>
      </c>
      <c r="AE88" t="s">
        <v>176</v>
      </c>
    </row>
    <row r="89" spans="1:31" x14ac:dyDescent="0.2">
      <c r="A89" t="s">
        <v>197</v>
      </c>
      <c r="B89" t="s">
        <v>198</v>
      </c>
      <c r="C89" t="s">
        <v>118</v>
      </c>
      <c r="D89" t="s">
        <v>119</v>
      </c>
      <c r="E89" t="s">
        <v>120</v>
      </c>
      <c r="F89">
        <v>2</v>
      </c>
      <c r="H89" t="s">
        <v>79</v>
      </c>
      <c r="I89">
        <v>4000</v>
      </c>
      <c r="J89">
        <v>0</v>
      </c>
      <c r="K89">
        <v>1500</v>
      </c>
      <c r="L89" t="s">
        <v>79</v>
      </c>
      <c r="M89" t="s">
        <v>173</v>
      </c>
      <c r="N89" t="s">
        <v>121</v>
      </c>
      <c r="O89" t="s">
        <v>79</v>
      </c>
      <c r="P89" t="s">
        <v>199</v>
      </c>
      <c r="Q89" t="s">
        <v>84</v>
      </c>
      <c r="R89" t="s">
        <v>79</v>
      </c>
      <c r="S89">
        <v>24</v>
      </c>
      <c r="T89">
        <v>0</v>
      </c>
      <c r="U89" t="s">
        <v>79</v>
      </c>
      <c r="W89" t="s">
        <v>87</v>
      </c>
      <c r="X89" t="s">
        <v>87</v>
      </c>
      <c r="Y89" t="s">
        <v>79</v>
      </c>
      <c r="Z89">
        <v>240</v>
      </c>
      <c r="AA89">
        <v>180</v>
      </c>
      <c r="AB89" t="s">
        <v>79</v>
      </c>
      <c r="AC89" t="s">
        <v>79</v>
      </c>
      <c r="AD89" t="s">
        <v>79</v>
      </c>
      <c r="AE89" t="s">
        <v>176</v>
      </c>
    </row>
    <row r="90" spans="1:31" x14ac:dyDescent="0.2">
      <c r="A90" t="s">
        <v>197</v>
      </c>
      <c r="B90" t="s">
        <v>198</v>
      </c>
      <c r="C90" t="s">
        <v>123</v>
      </c>
      <c r="D90" t="s">
        <v>124</v>
      </c>
      <c r="E90" t="s">
        <v>125</v>
      </c>
      <c r="F90">
        <v>2</v>
      </c>
      <c r="H90" t="s">
        <v>79</v>
      </c>
      <c r="I90">
        <v>4000</v>
      </c>
      <c r="J90">
        <v>0</v>
      </c>
      <c r="K90">
        <v>1500</v>
      </c>
      <c r="L90" t="s">
        <v>79</v>
      </c>
      <c r="M90" t="s">
        <v>173</v>
      </c>
      <c r="N90" t="s">
        <v>126</v>
      </c>
      <c r="O90" t="s">
        <v>79</v>
      </c>
      <c r="P90" t="s">
        <v>199</v>
      </c>
      <c r="Q90" t="s">
        <v>84</v>
      </c>
      <c r="R90" t="s">
        <v>79</v>
      </c>
      <c r="S90">
        <v>24</v>
      </c>
      <c r="T90">
        <v>0</v>
      </c>
      <c r="U90" t="s">
        <v>79</v>
      </c>
      <c r="W90" t="s">
        <v>87</v>
      </c>
      <c r="X90" t="s">
        <v>87</v>
      </c>
      <c r="Y90" t="s">
        <v>79</v>
      </c>
      <c r="Z90">
        <v>240</v>
      </c>
      <c r="AA90">
        <v>180</v>
      </c>
      <c r="AB90" t="s">
        <v>79</v>
      </c>
      <c r="AC90" t="s">
        <v>79</v>
      </c>
      <c r="AD90" t="s">
        <v>79</v>
      </c>
      <c r="AE90" t="s">
        <v>176</v>
      </c>
    </row>
    <row r="91" spans="1:31" x14ac:dyDescent="0.2">
      <c r="A91" t="s">
        <v>197</v>
      </c>
      <c r="B91" t="s">
        <v>198</v>
      </c>
      <c r="C91" t="s">
        <v>128</v>
      </c>
      <c r="D91" t="s">
        <v>129</v>
      </c>
      <c r="E91" t="s">
        <v>130</v>
      </c>
      <c r="F91">
        <v>2</v>
      </c>
      <c r="G91">
        <v>2.5</v>
      </c>
      <c r="H91" t="s">
        <v>79</v>
      </c>
      <c r="I91">
        <v>4000</v>
      </c>
      <c r="J91">
        <v>0</v>
      </c>
      <c r="K91">
        <v>1500</v>
      </c>
      <c r="L91" t="s">
        <v>79</v>
      </c>
      <c r="M91" t="s">
        <v>173</v>
      </c>
      <c r="N91" t="s">
        <v>131</v>
      </c>
      <c r="O91" t="s">
        <v>79</v>
      </c>
      <c r="P91" t="s">
        <v>199</v>
      </c>
      <c r="Q91" t="s">
        <v>84</v>
      </c>
      <c r="R91" t="s">
        <v>79</v>
      </c>
      <c r="S91">
        <v>24</v>
      </c>
      <c r="T91">
        <v>0</v>
      </c>
      <c r="U91" t="s">
        <v>79</v>
      </c>
      <c r="W91" t="s">
        <v>87</v>
      </c>
      <c r="X91" t="s">
        <v>86</v>
      </c>
      <c r="Y91" t="s">
        <v>79</v>
      </c>
      <c r="Z91">
        <v>240</v>
      </c>
      <c r="AA91">
        <v>180</v>
      </c>
      <c r="AB91" t="s">
        <v>79</v>
      </c>
      <c r="AC91" t="s">
        <v>79</v>
      </c>
      <c r="AD91" t="s">
        <v>79</v>
      </c>
      <c r="AE91" t="s">
        <v>176</v>
      </c>
    </row>
    <row r="92" spans="1:31" x14ac:dyDescent="0.2">
      <c r="A92" t="s">
        <v>197</v>
      </c>
      <c r="B92" t="s">
        <v>198</v>
      </c>
      <c r="C92" t="s">
        <v>133</v>
      </c>
      <c r="D92" t="s">
        <v>134</v>
      </c>
      <c r="E92" t="s">
        <v>120</v>
      </c>
      <c r="F92">
        <v>2</v>
      </c>
      <c r="G92">
        <v>3</v>
      </c>
      <c r="H92" t="s">
        <v>79</v>
      </c>
      <c r="I92">
        <v>4000</v>
      </c>
      <c r="J92">
        <v>0</v>
      </c>
      <c r="K92">
        <v>1500</v>
      </c>
      <c r="L92" t="s">
        <v>79</v>
      </c>
      <c r="M92" t="s">
        <v>173</v>
      </c>
      <c r="N92" t="s">
        <v>121</v>
      </c>
      <c r="O92" t="s">
        <v>79</v>
      </c>
      <c r="P92" t="s">
        <v>199</v>
      </c>
      <c r="Q92" t="s">
        <v>84</v>
      </c>
      <c r="R92" t="s">
        <v>79</v>
      </c>
      <c r="S92">
        <v>24</v>
      </c>
      <c r="T92">
        <v>0</v>
      </c>
      <c r="U92" t="s">
        <v>79</v>
      </c>
      <c r="W92" t="s">
        <v>87</v>
      </c>
      <c r="X92" t="s">
        <v>87</v>
      </c>
      <c r="Y92" t="s">
        <v>79</v>
      </c>
      <c r="Z92">
        <v>240</v>
      </c>
      <c r="AA92">
        <v>180</v>
      </c>
      <c r="AB92" t="s">
        <v>79</v>
      </c>
      <c r="AC92" t="s">
        <v>98</v>
      </c>
      <c r="AD92" t="s">
        <v>98</v>
      </c>
      <c r="AE92" t="s">
        <v>178</v>
      </c>
    </row>
    <row r="93" spans="1:31" x14ac:dyDescent="0.2">
      <c r="A93" t="s">
        <v>197</v>
      </c>
      <c r="B93" t="s">
        <v>198</v>
      </c>
      <c r="C93" t="s">
        <v>136</v>
      </c>
      <c r="D93" t="s">
        <v>137</v>
      </c>
      <c r="E93" t="s">
        <v>138</v>
      </c>
      <c r="F93">
        <v>2</v>
      </c>
      <c r="H93" t="s">
        <v>79</v>
      </c>
      <c r="I93">
        <v>4000</v>
      </c>
      <c r="J93">
        <v>0</v>
      </c>
      <c r="K93">
        <v>1500</v>
      </c>
      <c r="L93" t="s">
        <v>79</v>
      </c>
      <c r="M93" t="s">
        <v>173</v>
      </c>
      <c r="N93" t="s">
        <v>139</v>
      </c>
      <c r="O93" t="s">
        <v>79</v>
      </c>
      <c r="P93" t="s">
        <v>199</v>
      </c>
      <c r="Q93" t="s">
        <v>84</v>
      </c>
      <c r="R93" t="s">
        <v>79</v>
      </c>
      <c r="S93">
        <v>24</v>
      </c>
      <c r="T93">
        <v>0</v>
      </c>
      <c r="U93" t="s">
        <v>79</v>
      </c>
      <c r="W93" t="s">
        <v>87</v>
      </c>
      <c r="X93" t="s">
        <v>86</v>
      </c>
      <c r="Y93" t="s">
        <v>79</v>
      </c>
      <c r="Z93">
        <v>240</v>
      </c>
      <c r="AA93">
        <v>180</v>
      </c>
      <c r="AB93" t="s">
        <v>79</v>
      </c>
      <c r="AC93" t="s">
        <v>98</v>
      </c>
      <c r="AD93" t="s">
        <v>98</v>
      </c>
      <c r="AE93" t="s">
        <v>140</v>
      </c>
    </row>
    <row r="94" spans="1:31" x14ac:dyDescent="0.2">
      <c r="A94" t="s">
        <v>197</v>
      </c>
      <c r="B94" t="s">
        <v>198</v>
      </c>
      <c r="C94" t="s">
        <v>141</v>
      </c>
      <c r="D94" t="s">
        <v>142</v>
      </c>
      <c r="E94" t="s">
        <v>102</v>
      </c>
      <c r="F94">
        <v>2</v>
      </c>
      <c r="H94" t="s">
        <v>79</v>
      </c>
      <c r="I94">
        <v>4000</v>
      </c>
      <c r="J94">
        <v>0</v>
      </c>
      <c r="K94">
        <v>1500</v>
      </c>
      <c r="L94" t="s">
        <v>79</v>
      </c>
      <c r="M94" t="s">
        <v>173</v>
      </c>
      <c r="N94" t="s">
        <v>143</v>
      </c>
      <c r="O94" t="s">
        <v>79</v>
      </c>
      <c r="P94" t="s">
        <v>199</v>
      </c>
      <c r="Q94" t="s">
        <v>84</v>
      </c>
      <c r="R94" t="s">
        <v>79</v>
      </c>
      <c r="S94">
        <v>24</v>
      </c>
      <c r="T94">
        <v>0</v>
      </c>
      <c r="U94" t="s">
        <v>79</v>
      </c>
      <c r="W94" t="s">
        <v>87</v>
      </c>
      <c r="X94" t="s">
        <v>87</v>
      </c>
      <c r="Y94" t="s">
        <v>79</v>
      </c>
      <c r="Z94">
        <v>240</v>
      </c>
      <c r="AA94">
        <v>180</v>
      </c>
      <c r="AB94" t="s">
        <v>79</v>
      </c>
      <c r="AC94" t="s">
        <v>79</v>
      </c>
      <c r="AD94" t="s">
        <v>79</v>
      </c>
      <c r="AE94" t="s">
        <v>176</v>
      </c>
    </row>
    <row r="95" spans="1:31" x14ac:dyDescent="0.2">
      <c r="A95" t="s">
        <v>197</v>
      </c>
      <c r="B95" t="s">
        <v>198</v>
      </c>
      <c r="C95" t="s">
        <v>145</v>
      </c>
      <c r="D95" t="s">
        <v>146</v>
      </c>
      <c r="E95" t="s">
        <v>147</v>
      </c>
      <c r="F95">
        <v>2</v>
      </c>
      <c r="H95" t="s">
        <v>79</v>
      </c>
      <c r="I95">
        <v>4000</v>
      </c>
      <c r="J95">
        <v>0</v>
      </c>
      <c r="K95">
        <v>1500</v>
      </c>
      <c r="L95" t="s">
        <v>79</v>
      </c>
      <c r="M95" t="s">
        <v>173</v>
      </c>
      <c r="N95" t="s">
        <v>148</v>
      </c>
      <c r="O95" t="s">
        <v>79</v>
      </c>
      <c r="P95" t="s">
        <v>199</v>
      </c>
      <c r="Q95" t="s">
        <v>84</v>
      </c>
      <c r="R95" t="s">
        <v>79</v>
      </c>
      <c r="S95">
        <v>24</v>
      </c>
      <c r="T95">
        <v>0</v>
      </c>
      <c r="U95" t="s">
        <v>79</v>
      </c>
      <c r="W95" t="s">
        <v>87</v>
      </c>
      <c r="X95" t="s">
        <v>86</v>
      </c>
      <c r="Y95" t="s">
        <v>79</v>
      </c>
      <c r="Z95">
        <v>240</v>
      </c>
      <c r="AA95">
        <v>180</v>
      </c>
      <c r="AB95" t="s">
        <v>79</v>
      </c>
      <c r="AC95" t="s">
        <v>79</v>
      </c>
      <c r="AD95" t="s">
        <v>79</v>
      </c>
      <c r="AE95" t="s">
        <v>176</v>
      </c>
    </row>
    <row r="96" spans="1:31" x14ac:dyDescent="0.2">
      <c r="A96" t="s">
        <v>197</v>
      </c>
      <c r="B96" t="s">
        <v>198</v>
      </c>
      <c r="C96" t="s">
        <v>150</v>
      </c>
      <c r="D96" t="s">
        <v>151</v>
      </c>
      <c r="E96" t="s">
        <v>138</v>
      </c>
      <c r="F96">
        <v>2</v>
      </c>
      <c r="H96" t="s">
        <v>79</v>
      </c>
      <c r="I96">
        <v>4000</v>
      </c>
      <c r="J96">
        <v>0</v>
      </c>
      <c r="K96">
        <v>1500</v>
      </c>
      <c r="L96" t="s">
        <v>79</v>
      </c>
      <c r="M96" t="s">
        <v>173</v>
      </c>
      <c r="N96" t="s">
        <v>139</v>
      </c>
      <c r="O96" t="s">
        <v>79</v>
      </c>
      <c r="P96" t="s">
        <v>199</v>
      </c>
      <c r="Q96" t="s">
        <v>84</v>
      </c>
      <c r="R96" t="s">
        <v>79</v>
      </c>
      <c r="S96">
        <v>24</v>
      </c>
      <c r="T96">
        <v>0</v>
      </c>
      <c r="U96" t="s">
        <v>79</v>
      </c>
      <c r="W96" t="s">
        <v>87</v>
      </c>
      <c r="X96" t="s">
        <v>86</v>
      </c>
      <c r="Y96" t="s">
        <v>79</v>
      </c>
      <c r="Z96">
        <v>240</v>
      </c>
      <c r="AA96">
        <v>180</v>
      </c>
      <c r="AB96" t="s">
        <v>79</v>
      </c>
      <c r="AC96" t="s">
        <v>98</v>
      </c>
      <c r="AD96" t="s">
        <v>98</v>
      </c>
      <c r="AE96" t="s">
        <v>152</v>
      </c>
    </row>
    <row r="97" spans="1:31" x14ac:dyDescent="0.2">
      <c r="A97" t="s">
        <v>197</v>
      </c>
      <c r="B97" t="s">
        <v>198</v>
      </c>
      <c r="C97" t="s">
        <v>153</v>
      </c>
      <c r="D97" t="s">
        <v>154</v>
      </c>
      <c r="E97" t="s">
        <v>155</v>
      </c>
      <c r="F97">
        <v>2</v>
      </c>
      <c r="H97" t="s">
        <v>79</v>
      </c>
      <c r="I97">
        <v>4000</v>
      </c>
      <c r="J97">
        <v>5040</v>
      </c>
      <c r="K97">
        <v>6950</v>
      </c>
      <c r="L97" t="s">
        <v>82</v>
      </c>
      <c r="M97" t="s">
        <v>173</v>
      </c>
      <c r="N97" t="s">
        <v>156</v>
      </c>
      <c r="O97" t="s">
        <v>79</v>
      </c>
      <c r="P97" t="s">
        <v>199</v>
      </c>
      <c r="Q97" t="s">
        <v>84</v>
      </c>
      <c r="R97" t="s">
        <v>79</v>
      </c>
      <c r="S97">
        <v>24</v>
      </c>
      <c r="T97">
        <v>0</v>
      </c>
      <c r="U97" t="s">
        <v>79</v>
      </c>
      <c r="W97" t="s">
        <v>86</v>
      </c>
      <c r="X97" t="s">
        <v>86</v>
      </c>
      <c r="Y97" t="s">
        <v>79</v>
      </c>
      <c r="Z97">
        <v>240</v>
      </c>
      <c r="AA97">
        <v>180</v>
      </c>
      <c r="AB97" t="s">
        <v>79</v>
      </c>
      <c r="AC97" t="s">
        <v>79</v>
      </c>
      <c r="AD97" t="s">
        <v>82</v>
      </c>
      <c r="AE97" t="s">
        <v>201</v>
      </c>
    </row>
    <row r="98" spans="1:31" x14ac:dyDescent="0.2">
      <c r="A98" t="s">
        <v>197</v>
      </c>
      <c r="B98" t="s">
        <v>198</v>
      </c>
      <c r="C98" t="s">
        <v>158</v>
      </c>
      <c r="D98" t="s">
        <v>159</v>
      </c>
      <c r="E98" t="s">
        <v>155</v>
      </c>
      <c r="F98">
        <v>2</v>
      </c>
      <c r="H98" t="s">
        <v>79</v>
      </c>
      <c r="I98">
        <v>4000</v>
      </c>
      <c r="J98">
        <v>4500</v>
      </c>
      <c r="K98">
        <v>5450</v>
      </c>
      <c r="L98" t="s">
        <v>82</v>
      </c>
      <c r="M98" t="s">
        <v>173</v>
      </c>
      <c r="N98" t="s">
        <v>156</v>
      </c>
      <c r="O98" t="s">
        <v>79</v>
      </c>
      <c r="P98" t="s">
        <v>199</v>
      </c>
      <c r="Q98" t="s">
        <v>84</v>
      </c>
      <c r="R98" t="s">
        <v>79</v>
      </c>
      <c r="S98">
        <v>24</v>
      </c>
      <c r="T98">
        <v>0</v>
      </c>
      <c r="U98" t="s">
        <v>79</v>
      </c>
      <c r="W98" t="s">
        <v>86</v>
      </c>
      <c r="X98" t="s">
        <v>86</v>
      </c>
      <c r="Y98" t="s">
        <v>79</v>
      </c>
      <c r="Z98">
        <v>240</v>
      </c>
      <c r="AA98">
        <v>180</v>
      </c>
      <c r="AB98" t="s">
        <v>79</v>
      </c>
      <c r="AC98" t="s">
        <v>79</v>
      </c>
      <c r="AD98" t="s">
        <v>82</v>
      </c>
      <c r="AE98" t="s">
        <v>202</v>
      </c>
    </row>
    <row r="99" spans="1:31" x14ac:dyDescent="0.2">
      <c r="A99" t="s">
        <v>197</v>
      </c>
      <c r="B99" t="s">
        <v>198</v>
      </c>
      <c r="C99" t="s">
        <v>161</v>
      </c>
      <c r="D99" t="s">
        <v>162</v>
      </c>
      <c r="E99" t="s">
        <v>130</v>
      </c>
      <c r="F99">
        <v>2</v>
      </c>
      <c r="G99">
        <v>2.5</v>
      </c>
      <c r="H99" t="s">
        <v>79</v>
      </c>
      <c r="I99">
        <v>4000</v>
      </c>
      <c r="J99">
        <v>0</v>
      </c>
      <c r="K99">
        <v>1500</v>
      </c>
      <c r="L99" t="s">
        <v>79</v>
      </c>
      <c r="M99" t="s">
        <v>173</v>
      </c>
      <c r="N99" t="s">
        <v>131</v>
      </c>
      <c r="O99" t="s">
        <v>79</v>
      </c>
      <c r="P99" t="s">
        <v>199</v>
      </c>
      <c r="Q99" t="s">
        <v>84</v>
      </c>
      <c r="R99" t="s">
        <v>79</v>
      </c>
      <c r="S99">
        <v>24</v>
      </c>
      <c r="T99">
        <v>0</v>
      </c>
      <c r="U99" t="s">
        <v>79</v>
      </c>
      <c r="W99" t="s">
        <v>87</v>
      </c>
      <c r="X99" t="s">
        <v>86</v>
      </c>
      <c r="Y99" t="s">
        <v>79</v>
      </c>
      <c r="Z99">
        <v>240</v>
      </c>
      <c r="AA99">
        <v>180</v>
      </c>
      <c r="AB99" t="s">
        <v>79</v>
      </c>
      <c r="AC99" t="s">
        <v>79</v>
      </c>
      <c r="AD99" t="s">
        <v>79</v>
      </c>
      <c r="AE99" t="s">
        <v>176</v>
      </c>
    </row>
    <row r="100" spans="1:31" x14ac:dyDescent="0.2">
      <c r="A100" t="s">
        <v>197</v>
      </c>
      <c r="B100" t="s">
        <v>198</v>
      </c>
      <c r="C100" t="s">
        <v>163</v>
      </c>
      <c r="D100" t="s">
        <v>164</v>
      </c>
      <c r="E100" t="s">
        <v>130</v>
      </c>
      <c r="F100">
        <v>2</v>
      </c>
      <c r="H100" t="s">
        <v>79</v>
      </c>
      <c r="I100">
        <v>4000</v>
      </c>
      <c r="J100">
        <v>0</v>
      </c>
      <c r="K100">
        <v>1500</v>
      </c>
      <c r="L100" t="s">
        <v>79</v>
      </c>
      <c r="M100" t="s">
        <v>173</v>
      </c>
      <c r="N100" t="s">
        <v>131</v>
      </c>
      <c r="O100" t="s">
        <v>79</v>
      </c>
      <c r="P100" t="s">
        <v>199</v>
      </c>
      <c r="Q100" t="s">
        <v>84</v>
      </c>
      <c r="R100" t="s">
        <v>79</v>
      </c>
      <c r="S100">
        <v>24</v>
      </c>
      <c r="T100">
        <v>0</v>
      </c>
      <c r="U100" t="s">
        <v>79</v>
      </c>
      <c r="W100" t="s">
        <v>87</v>
      </c>
      <c r="X100" t="s">
        <v>87</v>
      </c>
      <c r="Y100" t="s">
        <v>79</v>
      </c>
      <c r="Z100">
        <v>240</v>
      </c>
      <c r="AA100">
        <v>180</v>
      </c>
      <c r="AB100" t="s">
        <v>79</v>
      </c>
      <c r="AC100" t="s">
        <v>98</v>
      </c>
      <c r="AD100" t="s">
        <v>98</v>
      </c>
      <c r="AE100" t="s">
        <v>181</v>
      </c>
    </row>
    <row r="101" spans="1:31" x14ac:dyDescent="0.2">
      <c r="A101" t="s">
        <v>197</v>
      </c>
      <c r="B101" t="s">
        <v>198</v>
      </c>
      <c r="C101" t="s">
        <v>166</v>
      </c>
      <c r="D101" t="s">
        <v>167</v>
      </c>
      <c r="E101" t="s">
        <v>168</v>
      </c>
      <c r="F101">
        <v>2</v>
      </c>
      <c r="G101">
        <v>2.5</v>
      </c>
      <c r="H101" t="s">
        <v>79</v>
      </c>
      <c r="I101">
        <v>4000</v>
      </c>
      <c r="J101">
        <v>0</v>
      </c>
      <c r="K101">
        <v>1500</v>
      </c>
      <c r="L101" t="s">
        <v>79</v>
      </c>
      <c r="M101" t="s">
        <v>173</v>
      </c>
      <c r="N101" t="s">
        <v>169</v>
      </c>
      <c r="O101" t="s">
        <v>79</v>
      </c>
      <c r="P101" t="s">
        <v>199</v>
      </c>
      <c r="Q101" t="s">
        <v>84</v>
      </c>
      <c r="R101" t="s">
        <v>79</v>
      </c>
      <c r="S101">
        <v>24</v>
      </c>
      <c r="T101">
        <v>0</v>
      </c>
      <c r="U101" t="s">
        <v>79</v>
      </c>
      <c r="W101" t="s">
        <v>87</v>
      </c>
      <c r="X101" t="s">
        <v>86</v>
      </c>
      <c r="Y101" t="s">
        <v>79</v>
      </c>
      <c r="Z101">
        <v>240</v>
      </c>
      <c r="AA101">
        <v>180</v>
      </c>
      <c r="AB101" t="s">
        <v>79</v>
      </c>
      <c r="AC101" t="s">
        <v>98</v>
      </c>
      <c r="AD101" t="s">
        <v>98</v>
      </c>
      <c r="AE101" t="s">
        <v>182</v>
      </c>
    </row>
    <row r="109" spans="1:31" x14ac:dyDescent="0.2">
      <c r="AE109">
        <f>COUNTIFS(AE2:AE101,"All constraints passed") + COUNTIFS(AE2:AE101,"ECTS*")</f>
        <v>47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3"/>
  <sheetViews>
    <sheetView topLeftCell="A34" workbookViewId="0">
      <selection activeCell="E52" sqref="E52"/>
    </sheetView>
  </sheetViews>
  <sheetFormatPr baseColWidth="10" defaultColWidth="8.83203125" defaultRowHeight="15" x14ac:dyDescent="0.2"/>
  <cols>
    <col min="1" max="1" width="21" customWidth="1"/>
    <col min="2" max="2" width="12" customWidth="1"/>
    <col min="3" max="3" width="50" customWidth="1"/>
    <col min="4" max="4" width="25" customWidth="1"/>
    <col min="5" max="5" width="50" customWidth="1"/>
    <col min="6" max="6" width="15" customWidth="1"/>
    <col min="7" max="7" width="22" customWidth="1"/>
    <col min="8" max="8" width="7" customWidth="1"/>
  </cols>
  <sheetData>
    <row r="1" spans="1:8" ht="16" customHeight="1" x14ac:dyDescent="0.2">
      <c r="A1" s="5" t="s">
        <v>42</v>
      </c>
      <c r="B1" s="5" t="s">
        <v>44</v>
      </c>
      <c r="C1" s="5" t="s">
        <v>45</v>
      </c>
      <c r="D1" s="5" t="s">
        <v>203</v>
      </c>
      <c r="E1" s="5" t="s">
        <v>204</v>
      </c>
      <c r="F1" s="5" t="s">
        <v>205</v>
      </c>
      <c r="G1" s="5" t="s">
        <v>206</v>
      </c>
      <c r="H1" s="5" t="s">
        <v>73</v>
      </c>
    </row>
    <row r="2" spans="1:8" x14ac:dyDescent="0.2">
      <c r="A2" t="s">
        <v>74</v>
      </c>
      <c r="B2" t="s">
        <v>136</v>
      </c>
      <c r="C2" t="s">
        <v>137</v>
      </c>
      <c r="D2" t="s">
        <v>207</v>
      </c>
      <c r="E2" t="s">
        <v>208</v>
      </c>
      <c r="F2" t="s">
        <v>82</v>
      </c>
      <c r="G2" t="s">
        <v>209</v>
      </c>
      <c r="H2" t="s">
        <v>210</v>
      </c>
    </row>
    <row r="3" spans="1:8" x14ac:dyDescent="0.2">
      <c r="A3" t="s">
        <v>74</v>
      </c>
      <c r="B3" t="s">
        <v>150</v>
      </c>
      <c r="C3" t="s">
        <v>151</v>
      </c>
      <c r="D3" t="s">
        <v>207</v>
      </c>
      <c r="E3" t="s">
        <v>211</v>
      </c>
      <c r="F3" t="s">
        <v>212</v>
      </c>
      <c r="G3" t="s">
        <v>213</v>
      </c>
      <c r="H3" t="s">
        <v>214</v>
      </c>
    </row>
    <row r="4" spans="1:8" x14ac:dyDescent="0.2">
      <c r="A4" t="s">
        <v>171</v>
      </c>
      <c r="B4" t="s">
        <v>89</v>
      </c>
      <c r="C4" t="s">
        <v>90</v>
      </c>
      <c r="D4" t="s">
        <v>215</v>
      </c>
      <c r="F4" t="s">
        <v>216</v>
      </c>
      <c r="G4" t="s">
        <v>217</v>
      </c>
      <c r="H4" t="s">
        <v>218</v>
      </c>
    </row>
    <row r="5" spans="1:8" x14ac:dyDescent="0.2">
      <c r="A5" t="s">
        <v>171</v>
      </c>
      <c r="B5" t="s">
        <v>94</v>
      </c>
      <c r="C5" t="s">
        <v>95</v>
      </c>
      <c r="D5" t="s">
        <v>215</v>
      </c>
      <c r="E5" t="s">
        <v>219</v>
      </c>
      <c r="F5" t="s">
        <v>216</v>
      </c>
      <c r="G5" t="s">
        <v>217</v>
      </c>
      <c r="H5" t="s">
        <v>218</v>
      </c>
    </row>
    <row r="6" spans="1:8" x14ac:dyDescent="0.2">
      <c r="A6" t="s">
        <v>171</v>
      </c>
      <c r="B6" t="s">
        <v>100</v>
      </c>
      <c r="C6" t="s">
        <v>101</v>
      </c>
      <c r="D6" t="s">
        <v>215</v>
      </c>
      <c r="F6" t="s">
        <v>216</v>
      </c>
      <c r="G6" t="s">
        <v>217</v>
      </c>
      <c r="H6" t="s">
        <v>218</v>
      </c>
    </row>
    <row r="7" spans="1:8" x14ac:dyDescent="0.2">
      <c r="A7" t="s">
        <v>171</v>
      </c>
      <c r="B7" t="s">
        <v>105</v>
      </c>
      <c r="C7" t="s">
        <v>106</v>
      </c>
      <c r="D7" t="s">
        <v>215</v>
      </c>
      <c r="E7" t="s">
        <v>220</v>
      </c>
      <c r="F7" t="s">
        <v>216</v>
      </c>
      <c r="G7" t="s">
        <v>217</v>
      </c>
      <c r="H7" t="s">
        <v>218</v>
      </c>
    </row>
    <row r="8" spans="1:8" x14ac:dyDescent="0.2">
      <c r="A8" t="s">
        <v>171</v>
      </c>
      <c r="B8" t="s">
        <v>116</v>
      </c>
      <c r="C8" t="s">
        <v>117</v>
      </c>
      <c r="D8" t="s">
        <v>215</v>
      </c>
      <c r="E8" t="s">
        <v>221</v>
      </c>
      <c r="F8" t="s">
        <v>82</v>
      </c>
      <c r="G8" t="s">
        <v>209</v>
      </c>
      <c r="H8" t="s">
        <v>210</v>
      </c>
    </row>
    <row r="9" spans="1:8" x14ac:dyDescent="0.2">
      <c r="A9" t="s">
        <v>171</v>
      </c>
      <c r="B9" t="s">
        <v>118</v>
      </c>
      <c r="C9" t="s">
        <v>119</v>
      </c>
      <c r="D9" t="s">
        <v>215</v>
      </c>
      <c r="F9" t="s">
        <v>216</v>
      </c>
      <c r="G9" t="s">
        <v>217</v>
      </c>
      <c r="H9" t="s">
        <v>218</v>
      </c>
    </row>
    <row r="10" spans="1:8" x14ac:dyDescent="0.2">
      <c r="A10" t="s">
        <v>171</v>
      </c>
      <c r="B10" t="s">
        <v>123</v>
      </c>
      <c r="C10" t="s">
        <v>124</v>
      </c>
      <c r="D10" t="s">
        <v>215</v>
      </c>
      <c r="E10" t="s">
        <v>222</v>
      </c>
      <c r="F10" t="s">
        <v>82</v>
      </c>
      <c r="G10" t="s">
        <v>209</v>
      </c>
      <c r="H10" t="s">
        <v>210</v>
      </c>
    </row>
    <row r="11" spans="1:8" x14ac:dyDescent="0.2">
      <c r="A11" t="s">
        <v>171</v>
      </c>
      <c r="B11" t="s">
        <v>128</v>
      </c>
      <c r="C11" t="s">
        <v>129</v>
      </c>
      <c r="D11" t="s">
        <v>215</v>
      </c>
      <c r="F11" t="s">
        <v>216</v>
      </c>
      <c r="G11" t="s">
        <v>217</v>
      </c>
      <c r="H11" t="s">
        <v>218</v>
      </c>
    </row>
    <row r="12" spans="1:8" x14ac:dyDescent="0.2">
      <c r="A12" t="s">
        <v>171</v>
      </c>
      <c r="B12" t="s">
        <v>133</v>
      </c>
      <c r="C12" t="s">
        <v>134</v>
      </c>
      <c r="D12" t="s">
        <v>215</v>
      </c>
      <c r="E12" t="s">
        <v>223</v>
      </c>
      <c r="F12" t="s">
        <v>82</v>
      </c>
      <c r="G12" t="s">
        <v>209</v>
      </c>
      <c r="H12" t="s">
        <v>210</v>
      </c>
    </row>
    <row r="13" spans="1:8" x14ac:dyDescent="0.2">
      <c r="A13" t="s">
        <v>171</v>
      </c>
      <c r="B13" t="s">
        <v>136</v>
      </c>
      <c r="C13" t="s">
        <v>137</v>
      </c>
      <c r="D13" t="s">
        <v>215</v>
      </c>
      <c r="E13" t="s">
        <v>208</v>
      </c>
      <c r="F13" t="s">
        <v>82</v>
      </c>
      <c r="G13" t="s">
        <v>209</v>
      </c>
      <c r="H13" t="s">
        <v>210</v>
      </c>
    </row>
    <row r="14" spans="1:8" x14ac:dyDescent="0.2">
      <c r="A14" t="s">
        <v>171</v>
      </c>
      <c r="B14" t="s">
        <v>141</v>
      </c>
      <c r="C14" t="s">
        <v>142</v>
      </c>
      <c r="D14" t="s">
        <v>215</v>
      </c>
      <c r="E14" t="s">
        <v>224</v>
      </c>
      <c r="F14" t="s">
        <v>82</v>
      </c>
      <c r="G14" t="s">
        <v>209</v>
      </c>
      <c r="H14" t="s">
        <v>210</v>
      </c>
    </row>
    <row r="15" spans="1:8" x14ac:dyDescent="0.2">
      <c r="A15" t="s">
        <v>171</v>
      </c>
      <c r="B15" t="s">
        <v>145</v>
      </c>
      <c r="C15" t="s">
        <v>146</v>
      </c>
      <c r="D15" t="s">
        <v>215</v>
      </c>
      <c r="E15" t="s">
        <v>225</v>
      </c>
      <c r="F15" t="s">
        <v>82</v>
      </c>
      <c r="G15" t="s">
        <v>209</v>
      </c>
      <c r="H15" t="s">
        <v>210</v>
      </c>
    </row>
    <row r="16" spans="1:8" x14ac:dyDescent="0.2">
      <c r="A16" t="s">
        <v>171</v>
      </c>
      <c r="B16" t="s">
        <v>150</v>
      </c>
      <c r="C16" t="s">
        <v>151</v>
      </c>
      <c r="D16" t="s">
        <v>215</v>
      </c>
      <c r="E16" t="s">
        <v>211</v>
      </c>
      <c r="F16" t="s">
        <v>82</v>
      </c>
      <c r="G16" t="s">
        <v>209</v>
      </c>
      <c r="H16" t="s">
        <v>210</v>
      </c>
    </row>
    <row r="17" spans="1:8" x14ac:dyDescent="0.2">
      <c r="A17" t="s">
        <v>171</v>
      </c>
      <c r="B17" t="s">
        <v>161</v>
      </c>
      <c r="C17" t="s">
        <v>162</v>
      </c>
      <c r="D17" t="s">
        <v>215</v>
      </c>
      <c r="E17" t="s">
        <v>226</v>
      </c>
      <c r="F17" t="s">
        <v>212</v>
      </c>
      <c r="G17" t="s">
        <v>213</v>
      </c>
      <c r="H17" t="s">
        <v>214</v>
      </c>
    </row>
    <row r="18" spans="1:8" x14ac:dyDescent="0.2">
      <c r="A18" t="s">
        <v>171</v>
      </c>
      <c r="B18" t="s">
        <v>163</v>
      </c>
      <c r="C18" t="s">
        <v>164</v>
      </c>
      <c r="D18" t="s">
        <v>215</v>
      </c>
      <c r="E18" t="s">
        <v>227</v>
      </c>
      <c r="F18" t="s">
        <v>212</v>
      </c>
      <c r="G18" t="s">
        <v>213</v>
      </c>
      <c r="H18" t="s">
        <v>214</v>
      </c>
    </row>
    <row r="19" spans="1:8" x14ac:dyDescent="0.2">
      <c r="A19" t="s">
        <v>171</v>
      </c>
      <c r="B19" t="s">
        <v>166</v>
      </c>
      <c r="C19" t="s">
        <v>167</v>
      </c>
      <c r="D19" t="s">
        <v>215</v>
      </c>
      <c r="E19" t="s">
        <v>228</v>
      </c>
      <c r="F19" t="s">
        <v>216</v>
      </c>
      <c r="G19" t="s">
        <v>217</v>
      </c>
      <c r="H19" t="s">
        <v>218</v>
      </c>
    </row>
    <row r="20" spans="1:8" x14ac:dyDescent="0.2">
      <c r="A20" t="s">
        <v>183</v>
      </c>
      <c r="B20" t="s">
        <v>89</v>
      </c>
      <c r="C20" t="s">
        <v>90</v>
      </c>
      <c r="D20" t="s">
        <v>229</v>
      </c>
      <c r="F20" t="s">
        <v>216</v>
      </c>
      <c r="G20" t="s">
        <v>217</v>
      </c>
      <c r="H20" t="s">
        <v>218</v>
      </c>
    </row>
    <row r="21" spans="1:8" x14ac:dyDescent="0.2">
      <c r="A21" t="s">
        <v>183</v>
      </c>
      <c r="B21" t="s">
        <v>100</v>
      </c>
      <c r="C21" t="s">
        <v>101</v>
      </c>
      <c r="D21" t="s">
        <v>229</v>
      </c>
      <c r="F21" t="s">
        <v>216</v>
      </c>
      <c r="G21" t="s">
        <v>217</v>
      </c>
      <c r="H21" t="s">
        <v>218</v>
      </c>
    </row>
    <row r="22" spans="1:8" x14ac:dyDescent="0.2">
      <c r="A22" t="s">
        <v>183</v>
      </c>
      <c r="B22" t="s">
        <v>118</v>
      </c>
      <c r="C22" t="s">
        <v>119</v>
      </c>
      <c r="D22" t="s">
        <v>229</v>
      </c>
      <c r="F22" t="s">
        <v>216</v>
      </c>
      <c r="G22" t="s">
        <v>217</v>
      </c>
      <c r="H22" t="s">
        <v>218</v>
      </c>
    </row>
    <row r="23" spans="1:8" x14ac:dyDescent="0.2">
      <c r="A23" t="s">
        <v>183</v>
      </c>
      <c r="B23" t="s">
        <v>123</v>
      </c>
      <c r="C23" t="s">
        <v>124</v>
      </c>
      <c r="D23" t="s">
        <v>229</v>
      </c>
      <c r="E23" t="s">
        <v>222</v>
      </c>
      <c r="F23" t="s">
        <v>82</v>
      </c>
      <c r="G23" t="s">
        <v>209</v>
      </c>
      <c r="H23" t="s">
        <v>210</v>
      </c>
    </row>
    <row r="24" spans="1:8" x14ac:dyDescent="0.2">
      <c r="A24" t="s">
        <v>183</v>
      </c>
      <c r="B24" t="s">
        <v>136</v>
      </c>
      <c r="C24" t="s">
        <v>137</v>
      </c>
      <c r="D24" t="s">
        <v>229</v>
      </c>
      <c r="E24" t="s">
        <v>208</v>
      </c>
      <c r="F24" t="s">
        <v>82</v>
      </c>
      <c r="G24" t="s">
        <v>209</v>
      </c>
      <c r="H24" t="s">
        <v>210</v>
      </c>
    </row>
    <row r="25" spans="1:8" x14ac:dyDescent="0.2">
      <c r="A25" t="s">
        <v>183</v>
      </c>
      <c r="B25" t="s">
        <v>141</v>
      </c>
      <c r="C25" t="s">
        <v>142</v>
      </c>
      <c r="D25" t="s">
        <v>229</v>
      </c>
      <c r="E25" t="s">
        <v>224</v>
      </c>
      <c r="F25" t="s">
        <v>82</v>
      </c>
      <c r="G25" t="s">
        <v>209</v>
      </c>
      <c r="H25" t="s">
        <v>210</v>
      </c>
    </row>
    <row r="26" spans="1:8" x14ac:dyDescent="0.2">
      <c r="A26" t="s">
        <v>183</v>
      </c>
      <c r="B26" t="s">
        <v>145</v>
      </c>
      <c r="C26" t="s">
        <v>146</v>
      </c>
      <c r="D26" t="s">
        <v>229</v>
      </c>
      <c r="E26" t="s">
        <v>225</v>
      </c>
      <c r="F26" t="s">
        <v>82</v>
      </c>
      <c r="G26" t="s">
        <v>209</v>
      </c>
      <c r="H26" t="s">
        <v>210</v>
      </c>
    </row>
    <row r="27" spans="1:8" x14ac:dyDescent="0.2">
      <c r="A27" t="s">
        <v>183</v>
      </c>
      <c r="B27" t="s">
        <v>150</v>
      </c>
      <c r="C27" t="s">
        <v>151</v>
      </c>
      <c r="D27" t="s">
        <v>229</v>
      </c>
      <c r="E27" t="s">
        <v>211</v>
      </c>
      <c r="F27" t="s">
        <v>82</v>
      </c>
      <c r="G27" t="s">
        <v>209</v>
      </c>
      <c r="H27" t="s">
        <v>210</v>
      </c>
    </row>
    <row r="28" spans="1:8" x14ac:dyDescent="0.2">
      <c r="A28" t="s">
        <v>183</v>
      </c>
      <c r="B28" t="s">
        <v>163</v>
      </c>
      <c r="C28" t="s">
        <v>164</v>
      </c>
      <c r="D28" t="s">
        <v>229</v>
      </c>
      <c r="E28" t="s">
        <v>227</v>
      </c>
      <c r="F28" t="s">
        <v>216</v>
      </c>
      <c r="G28" t="s">
        <v>217</v>
      </c>
      <c r="H28" t="s">
        <v>218</v>
      </c>
    </row>
    <row r="29" spans="1:8" x14ac:dyDescent="0.2">
      <c r="A29" t="s">
        <v>190</v>
      </c>
      <c r="B29" t="s">
        <v>94</v>
      </c>
      <c r="C29" t="s">
        <v>95</v>
      </c>
      <c r="D29" t="s">
        <v>230</v>
      </c>
      <c r="E29" t="s">
        <v>219</v>
      </c>
      <c r="F29" t="s">
        <v>212</v>
      </c>
      <c r="G29" t="s">
        <v>213</v>
      </c>
      <c r="H29" t="s">
        <v>214</v>
      </c>
    </row>
    <row r="30" spans="1:8" x14ac:dyDescent="0.2">
      <c r="A30" t="s">
        <v>190</v>
      </c>
      <c r="B30" t="s">
        <v>136</v>
      </c>
      <c r="C30" t="s">
        <v>137</v>
      </c>
      <c r="D30" t="s">
        <v>230</v>
      </c>
      <c r="E30" t="s">
        <v>208</v>
      </c>
      <c r="F30" t="s">
        <v>82</v>
      </c>
      <c r="G30" t="s">
        <v>209</v>
      </c>
      <c r="H30" t="s">
        <v>210</v>
      </c>
    </row>
    <row r="31" spans="1:8" x14ac:dyDescent="0.2">
      <c r="A31" t="s">
        <v>190</v>
      </c>
      <c r="B31" t="s">
        <v>150</v>
      </c>
      <c r="C31" t="s">
        <v>151</v>
      </c>
      <c r="D31" t="s">
        <v>230</v>
      </c>
      <c r="E31" t="s">
        <v>211</v>
      </c>
      <c r="F31" t="s">
        <v>212</v>
      </c>
      <c r="G31" t="s">
        <v>213</v>
      </c>
      <c r="H31" t="s">
        <v>214</v>
      </c>
    </row>
    <row r="32" spans="1:8" x14ac:dyDescent="0.2">
      <c r="A32" t="s">
        <v>197</v>
      </c>
      <c r="B32" t="s">
        <v>76</v>
      </c>
      <c r="C32" t="s">
        <v>77</v>
      </c>
      <c r="D32" t="s">
        <v>231</v>
      </c>
      <c r="E32" t="s">
        <v>232</v>
      </c>
      <c r="F32" t="s">
        <v>82</v>
      </c>
      <c r="G32" t="s">
        <v>209</v>
      </c>
      <c r="H32" t="s">
        <v>210</v>
      </c>
    </row>
    <row r="33" spans="1:8" x14ac:dyDescent="0.2">
      <c r="A33" t="s">
        <v>197</v>
      </c>
      <c r="B33" t="s">
        <v>89</v>
      </c>
      <c r="C33" t="s">
        <v>90</v>
      </c>
      <c r="D33" t="s">
        <v>231</v>
      </c>
      <c r="F33" t="s">
        <v>216</v>
      </c>
      <c r="G33" t="s">
        <v>217</v>
      </c>
      <c r="H33" t="s">
        <v>218</v>
      </c>
    </row>
    <row r="34" spans="1:8" x14ac:dyDescent="0.2">
      <c r="A34" t="s">
        <v>197</v>
      </c>
      <c r="B34" t="s">
        <v>94</v>
      </c>
      <c r="C34" t="s">
        <v>95</v>
      </c>
      <c r="D34" t="s">
        <v>231</v>
      </c>
      <c r="E34" t="s">
        <v>219</v>
      </c>
      <c r="F34" t="s">
        <v>212</v>
      </c>
      <c r="G34" t="s">
        <v>213</v>
      </c>
      <c r="H34" t="s">
        <v>214</v>
      </c>
    </row>
    <row r="35" spans="1:8" x14ac:dyDescent="0.2">
      <c r="A35" t="s">
        <v>197</v>
      </c>
      <c r="B35" t="s">
        <v>100</v>
      </c>
      <c r="C35" t="s">
        <v>101</v>
      </c>
      <c r="D35" t="s">
        <v>231</v>
      </c>
      <c r="F35" t="s">
        <v>216</v>
      </c>
      <c r="G35" t="s">
        <v>217</v>
      </c>
      <c r="H35" t="s">
        <v>218</v>
      </c>
    </row>
    <row r="36" spans="1:8" x14ac:dyDescent="0.2">
      <c r="A36" t="s">
        <v>197</v>
      </c>
      <c r="B36" t="s">
        <v>105</v>
      </c>
      <c r="C36" t="s">
        <v>106</v>
      </c>
      <c r="D36" t="s">
        <v>231</v>
      </c>
      <c r="E36" t="s">
        <v>220</v>
      </c>
      <c r="F36" t="s">
        <v>212</v>
      </c>
      <c r="G36" t="s">
        <v>213</v>
      </c>
      <c r="H36" t="s">
        <v>214</v>
      </c>
    </row>
    <row r="37" spans="1:8" x14ac:dyDescent="0.2">
      <c r="A37" t="s">
        <v>197</v>
      </c>
      <c r="B37" t="s">
        <v>116</v>
      </c>
      <c r="C37" t="s">
        <v>117</v>
      </c>
      <c r="D37" t="s">
        <v>231</v>
      </c>
      <c r="E37" t="s">
        <v>221</v>
      </c>
      <c r="F37" t="s">
        <v>82</v>
      </c>
      <c r="G37" t="s">
        <v>209</v>
      </c>
      <c r="H37" t="s">
        <v>210</v>
      </c>
    </row>
    <row r="38" spans="1:8" x14ac:dyDescent="0.2">
      <c r="A38" t="s">
        <v>197</v>
      </c>
      <c r="B38" t="s">
        <v>118</v>
      </c>
      <c r="C38" t="s">
        <v>119</v>
      </c>
      <c r="D38" t="s">
        <v>231</v>
      </c>
      <c r="F38" t="s">
        <v>216</v>
      </c>
      <c r="G38" t="s">
        <v>217</v>
      </c>
      <c r="H38" t="s">
        <v>218</v>
      </c>
    </row>
    <row r="39" spans="1:8" x14ac:dyDescent="0.2">
      <c r="A39" t="s">
        <v>197</v>
      </c>
      <c r="B39" t="s">
        <v>123</v>
      </c>
      <c r="C39" t="s">
        <v>124</v>
      </c>
      <c r="D39" t="s">
        <v>231</v>
      </c>
      <c r="E39" t="s">
        <v>222</v>
      </c>
      <c r="F39" t="s">
        <v>82</v>
      </c>
      <c r="G39" t="s">
        <v>209</v>
      </c>
      <c r="H39" t="s">
        <v>210</v>
      </c>
    </row>
    <row r="40" spans="1:8" x14ac:dyDescent="0.2">
      <c r="A40" t="s">
        <v>197</v>
      </c>
      <c r="B40" t="s">
        <v>128</v>
      </c>
      <c r="C40" t="s">
        <v>129</v>
      </c>
      <c r="D40" t="s">
        <v>231</v>
      </c>
      <c r="F40" t="s">
        <v>216</v>
      </c>
      <c r="G40" t="s">
        <v>217</v>
      </c>
      <c r="H40" t="s">
        <v>218</v>
      </c>
    </row>
    <row r="41" spans="1:8" x14ac:dyDescent="0.2">
      <c r="A41" t="s">
        <v>197</v>
      </c>
      <c r="B41" t="s">
        <v>133</v>
      </c>
      <c r="C41" t="s">
        <v>134</v>
      </c>
      <c r="D41" t="s">
        <v>231</v>
      </c>
      <c r="E41" t="s">
        <v>223</v>
      </c>
      <c r="F41" t="s">
        <v>82</v>
      </c>
      <c r="G41" t="s">
        <v>209</v>
      </c>
      <c r="H41" t="s">
        <v>210</v>
      </c>
    </row>
    <row r="42" spans="1:8" x14ac:dyDescent="0.2">
      <c r="A42" t="s">
        <v>197</v>
      </c>
      <c r="B42" t="s">
        <v>136</v>
      </c>
      <c r="C42" t="s">
        <v>137</v>
      </c>
      <c r="D42" t="s">
        <v>231</v>
      </c>
      <c r="E42" t="s">
        <v>208</v>
      </c>
      <c r="F42" t="s">
        <v>82</v>
      </c>
      <c r="G42" t="s">
        <v>209</v>
      </c>
      <c r="H42" t="s">
        <v>210</v>
      </c>
    </row>
    <row r="43" spans="1:8" x14ac:dyDescent="0.2">
      <c r="A43" t="s">
        <v>197</v>
      </c>
      <c r="B43" t="s">
        <v>141</v>
      </c>
      <c r="C43" t="s">
        <v>142</v>
      </c>
      <c r="D43" t="s">
        <v>231</v>
      </c>
      <c r="E43" t="s">
        <v>224</v>
      </c>
      <c r="F43" t="s">
        <v>82</v>
      </c>
      <c r="G43" t="s">
        <v>209</v>
      </c>
      <c r="H43" t="s">
        <v>210</v>
      </c>
    </row>
    <row r="44" spans="1:8" x14ac:dyDescent="0.2">
      <c r="A44" t="s">
        <v>197</v>
      </c>
      <c r="B44" t="s">
        <v>145</v>
      </c>
      <c r="C44" t="s">
        <v>146</v>
      </c>
      <c r="D44" t="s">
        <v>231</v>
      </c>
      <c r="E44" t="s">
        <v>225</v>
      </c>
      <c r="F44" t="s">
        <v>82</v>
      </c>
      <c r="G44" t="s">
        <v>209</v>
      </c>
      <c r="H44" t="s">
        <v>210</v>
      </c>
    </row>
    <row r="45" spans="1:8" x14ac:dyDescent="0.2">
      <c r="A45" t="s">
        <v>197</v>
      </c>
      <c r="B45" t="s">
        <v>150</v>
      </c>
      <c r="C45" t="s">
        <v>151</v>
      </c>
      <c r="D45" t="s">
        <v>231</v>
      </c>
      <c r="E45" t="s">
        <v>211</v>
      </c>
      <c r="F45" t="s">
        <v>82</v>
      </c>
      <c r="G45" t="s">
        <v>209</v>
      </c>
      <c r="H45" t="s">
        <v>210</v>
      </c>
    </row>
    <row r="46" spans="1:8" x14ac:dyDescent="0.2">
      <c r="A46" t="s">
        <v>197</v>
      </c>
      <c r="B46" t="s">
        <v>161</v>
      </c>
      <c r="C46" t="s">
        <v>162</v>
      </c>
      <c r="D46" t="s">
        <v>231</v>
      </c>
      <c r="E46" t="s">
        <v>226</v>
      </c>
      <c r="F46" t="s">
        <v>212</v>
      </c>
      <c r="G46" t="s">
        <v>213</v>
      </c>
      <c r="H46" t="s">
        <v>214</v>
      </c>
    </row>
    <row r="47" spans="1:8" x14ac:dyDescent="0.2">
      <c r="A47" t="s">
        <v>197</v>
      </c>
      <c r="B47" t="s">
        <v>163</v>
      </c>
      <c r="C47" t="s">
        <v>164</v>
      </c>
      <c r="D47" t="s">
        <v>231</v>
      </c>
      <c r="E47" t="s">
        <v>227</v>
      </c>
      <c r="F47" t="s">
        <v>233</v>
      </c>
      <c r="G47" t="s">
        <v>234</v>
      </c>
      <c r="H47" t="s">
        <v>235</v>
      </c>
    </row>
    <row r="48" spans="1:8" x14ac:dyDescent="0.2">
      <c r="A48" t="s">
        <v>197</v>
      </c>
      <c r="B48" t="s">
        <v>166</v>
      </c>
      <c r="C48" t="s">
        <v>167</v>
      </c>
      <c r="D48" t="s">
        <v>231</v>
      </c>
      <c r="E48" t="s">
        <v>228</v>
      </c>
      <c r="F48" t="s">
        <v>212</v>
      </c>
      <c r="G48" t="s">
        <v>213</v>
      </c>
      <c r="H48" t="s">
        <v>214</v>
      </c>
    </row>
    <row r="53" spans="6:6" x14ac:dyDescent="0.2">
      <c r="F53">
        <f>COUNTIF(F2:F48,"HIGH") + COUNTIF(F2:F48,"MEDIUM")</f>
        <v>24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5"/>
  <sheetViews>
    <sheetView workbookViewId="0">
      <selection activeCell="F24" sqref="F24"/>
    </sheetView>
  </sheetViews>
  <sheetFormatPr baseColWidth="10" defaultColWidth="8.83203125" defaultRowHeight="15" x14ac:dyDescent="0.2"/>
  <cols>
    <col min="1" max="1" width="21" customWidth="1"/>
    <col min="2" max="2" width="12" customWidth="1"/>
    <col min="3" max="5" width="50" customWidth="1"/>
    <col min="6" max="6" width="40" customWidth="1"/>
    <col min="7" max="7" width="23" customWidth="1"/>
    <col min="8" max="8" width="7" customWidth="1"/>
  </cols>
  <sheetData>
    <row r="1" spans="1:8" ht="16" customHeight="1" x14ac:dyDescent="0.2">
      <c r="A1" s="6" t="s">
        <v>42</v>
      </c>
      <c r="B1" s="6" t="s">
        <v>44</v>
      </c>
      <c r="C1" s="6" t="s">
        <v>45</v>
      </c>
      <c r="D1" s="6" t="s">
        <v>236</v>
      </c>
      <c r="E1" s="6" t="s">
        <v>237</v>
      </c>
      <c r="F1" s="6" t="s">
        <v>238</v>
      </c>
      <c r="G1" s="6" t="s">
        <v>239</v>
      </c>
      <c r="H1" s="6" t="s">
        <v>73</v>
      </c>
    </row>
    <row r="2" spans="1:8" x14ac:dyDescent="0.2">
      <c r="A2" t="s">
        <v>171</v>
      </c>
      <c r="B2" t="s">
        <v>89</v>
      </c>
      <c r="C2" t="s">
        <v>90</v>
      </c>
      <c r="D2" t="s">
        <v>240</v>
      </c>
      <c r="E2" t="s">
        <v>241</v>
      </c>
      <c r="F2" t="s">
        <v>242</v>
      </c>
    </row>
    <row r="3" spans="1:8" x14ac:dyDescent="0.2">
      <c r="A3" t="s">
        <v>171</v>
      </c>
      <c r="B3" t="s">
        <v>94</v>
      </c>
      <c r="C3" t="s">
        <v>95</v>
      </c>
      <c r="D3" t="s">
        <v>243</v>
      </c>
      <c r="E3" t="s">
        <v>241</v>
      </c>
      <c r="F3" t="s">
        <v>242</v>
      </c>
      <c r="H3" t="s">
        <v>259</v>
      </c>
    </row>
    <row r="4" spans="1:8" x14ac:dyDescent="0.2">
      <c r="A4" t="s">
        <v>171</v>
      </c>
      <c r="B4" t="s">
        <v>100</v>
      </c>
      <c r="C4" t="s">
        <v>101</v>
      </c>
      <c r="D4" t="s">
        <v>244</v>
      </c>
      <c r="E4" t="s">
        <v>241</v>
      </c>
      <c r="F4" t="s">
        <v>242</v>
      </c>
    </row>
    <row r="5" spans="1:8" x14ac:dyDescent="0.2">
      <c r="A5" t="s">
        <v>171</v>
      </c>
      <c r="B5" t="s">
        <v>105</v>
      </c>
      <c r="C5" t="s">
        <v>106</v>
      </c>
      <c r="D5" t="s">
        <v>245</v>
      </c>
      <c r="E5" t="s">
        <v>241</v>
      </c>
      <c r="F5" t="s">
        <v>242</v>
      </c>
    </row>
    <row r="6" spans="1:8" x14ac:dyDescent="0.2">
      <c r="A6" t="s">
        <v>171</v>
      </c>
      <c r="B6" t="s">
        <v>118</v>
      </c>
      <c r="C6" t="s">
        <v>119</v>
      </c>
      <c r="D6" t="s">
        <v>246</v>
      </c>
      <c r="E6" t="s">
        <v>241</v>
      </c>
      <c r="F6" t="s">
        <v>242</v>
      </c>
    </row>
    <row r="7" spans="1:8" x14ac:dyDescent="0.2">
      <c r="A7" t="s">
        <v>171</v>
      </c>
      <c r="B7" t="s">
        <v>128</v>
      </c>
      <c r="C7" t="s">
        <v>129</v>
      </c>
      <c r="D7" t="s">
        <v>247</v>
      </c>
      <c r="E7" t="s">
        <v>241</v>
      </c>
      <c r="F7" t="s">
        <v>242</v>
      </c>
    </row>
    <row r="8" spans="1:8" x14ac:dyDescent="0.2">
      <c r="A8" t="s">
        <v>171</v>
      </c>
      <c r="B8" t="s">
        <v>161</v>
      </c>
      <c r="C8" t="s">
        <v>162</v>
      </c>
      <c r="D8" t="s">
        <v>248</v>
      </c>
      <c r="E8" t="s">
        <v>241</v>
      </c>
      <c r="F8" t="s">
        <v>242</v>
      </c>
      <c r="G8" t="s">
        <v>270</v>
      </c>
    </row>
    <row r="9" spans="1:8" x14ac:dyDescent="0.2">
      <c r="A9" t="s">
        <v>171</v>
      </c>
      <c r="B9" t="s">
        <v>163</v>
      </c>
      <c r="C9" t="s">
        <v>164</v>
      </c>
      <c r="D9" t="s">
        <v>249</v>
      </c>
      <c r="E9" t="s">
        <v>241</v>
      </c>
      <c r="F9" t="s">
        <v>242</v>
      </c>
      <c r="H9" t="s">
        <v>259</v>
      </c>
    </row>
    <row r="10" spans="1:8" x14ac:dyDescent="0.2">
      <c r="A10" t="s">
        <v>171</v>
      </c>
      <c r="B10" t="s">
        <v>166</v>
      </c>
      <c r="C10" t="s">
        <v>167</v>
      </c>
      <c r="D10" t="s">
        <v>250</v>
      </c>
      <c r="E10" t="s">
        <v>241</v>
      </c>
      <c r="F10" t="s">
        <v>242</v>
      </c>
      <c r="G10" t="s">
        <v>270</v>
      </c>
      <c r="H10" t="s">
        <v>259</v>
      </c>
    </row>
    <row r="11" spans="1:8" x14ac:dyDescent="0.2">
      <c r="A11" t="s">
        <v>183</v>
      </c>
      <c r="B11" t="s">
        <v>89</v>
      </c>
      <c r="C11" t="s">
        <v>90</v>
      </c>
      <c r="D11" t="s">
        <v>240</v>
      </c>
      <c r="E11" t="s">
        <v>251</v>
      </c>
      <c r="F11" t="s">
        <v>252</v>
      </c>
    </row>
    <row r="12" spans="1:8" x14ac:dyDescent="0.2">
      <c r="A12" t="s">
        <v>183</v>
      </c>
      <c r="B12" t="s">
        <v>100</v>
      </c>
      <c r="C12" t="s">
        <v>101</v>
      </c>
      <c r="D12" t="s">
        <v>244</v>
      </c>
      <c r="E12" t="s">
        <v>251</v>
      </c>
      <c r="F12" t="s">
        <v>252</v>
      </c>
    </row>
    <row r="13" spans="1:8" x14ac:dyDescent="0.2">
      <c r="A13" t="s">
        <v>183</v>
      </c>
      <c r="B13" t="s">
        <v>118</v>
      </c>
      <c r="C13" t="s">
        <v>119</v>
      </c>
      <c r="D13" t="s">
        <v>246</v>
      </c>
      <c r="E13" t="s">
        <v>251</v>
      </c>
      <c r="F13" t="s">
        <v>252</v>
      </c>
    </row>
    <row r="14" spans="1:8" x14ac:dyDescent="0.2">
      <c r="A14" t="s">
        <v>183</v>
      </c>
      <c r="B14" t="s">
        <v>163</v>
      </c>
      <c r="C14" t="s">
        <v>164</v>
      </c>
      <c r="D14" t="s">
        <v>249</v>
      </c>
      <c r="E14" t="s">
        <v>251</v>
      </c>
      <c r="F14" t="s">
        <v>252</v>
      </c>
      <c r="H14" t="s">
        <v>259</v>
      </c>
    </row>
    <row r="15" spans="1:8" x14ac:dyDescent="0.2">
      <c r="A15" t="s">
        <v>197</v>
      </c>
      <c r="B15" t="s">
        <v>89</v>
      </c>
      <c r="C15" t="s">
        <v>90</v>
      </c>
      <c r="D15" t="s">
        <v>240</v>
      </c>
      <c r="E15" t="s">
        <v>253</v>
      </c>
      <c r="F15" t="s">
        <v>254</v>
      </c>
    </row>
    <row r="16" spans="1:8" x14ac:dyDescent="0.2">
      <c r="A16" t="s">
        <v>197</v>
      </c>
      <c r="B16" t="s">
        <v>94</v>
      </c>
      <c r="C16" t="s">
        <v>95</v>
      </c>
      <c r="D16" t="s">
        <v>243</v>
      </c>
      <c r="E16" t="s">
        <v>253</v>
      </c>
      <c r="F16" t="s">
        <v>254</v>
      </c>
      <c r="H16" t="s">
        <v>259</v>
      </c>
    </row>
    <row r="17" spans="1:8" x14ac:dyDescent="0.2">
      <c r="A17" t="s">
        <v>197</v>
      </c>
      <c r="B17" t="s">
        <v>100</v>
      </c>
      <c r="C17" t="s">
        <v>101</v>
      </c>
      <c r="D17" t="s">
        <v>244</v>
      </c>
      <c r="E17" t="s">
        <v>253</v>
      </c>
      <c r="F17" t="s">
        <v>254</v>
      </c>
    </row>
    <row r="18" spans="1:8" x14ac:dyDescent="0.2">
      <c r="A18" t="s">
        <v>197</v>
      </c>
      <c r="B18" t="s">
        <v>105</v>
      </c>
      <c r="C18" t="s">
        <v>106</v>
      </c>
      <c r="D18" t="s">
        <v>245</v>
      </c>
      <c r="E18" t="s">
        <v>253</v>
      </c>
      <c r="F18" t="s">
        <v>254</v>
      </c>
    </row>
    <row r="19" spans="1:8" x14ac:dyDescent="0.2">
      <c r="A19" t="s">
        <v>197</v>
      </c>
      <c r="B19" t="s">
        <v>118</v>
      </c>
      <c r="C19" t="s">
        <v>119</v>
      </c>
      <c r="D19" t="s">
        <v>246</v>
      </c>
      <c r="E19" t="s">
        <v>253</v>
      </c>
      <c r="F19" t="s">
        <v>254</v>
      </c>
    </row>
    <row r="20" spans="1:8" x14ac:dyDescent="0.2">
      <c r="A20" t="s">
        <v>197</v>
      </c>
      <c r="B20" t="s">
        <v>128</v>
      </c>
      <c r="C20" t="s">
        <v>129</v>
      </c>
      <c r="D20" t="s">
        <v>247</v>
      </c>
      <c r="E20" t="s">
        <v>253</v>
      </c>
      <c r="F20" t="s">
        <v>254</v>
      </c>
    </row>
    <row r="21" spans="1:8" x14ac:dyDescent="0.2">
      <c r="A21" t="s">
        <v>197</v>
      </c>
      <c r="B21" t="s">
        <v>161</v>
      </c>
      <c r="C21" t="s">
        <v>162</v>
      </c>
      <c r="D21" t="s">
        <v>248</v>
      </c>
      <c r="E21" t="s">
        <v>253</v>
      </c>
      <c r="F21" t="s">
        <v>254</v>
      </c>
      <c r="G21" t="s">
        <v>270</v>
      </c>
    </row>
    <row r="22" spans="1:8" x14ac:dyDescent="0.2">
      <c r="A22" t="s">
        <v>197</v>
      </c>
      <c r="B22" t="s">
        <v>166</v>
      </c>
      <c r="C22" t="s">
        <v>167</v>
      </c>
      <c r="D22" t="s">
        <v>250</v>
      </c>
      <c r="E22" t="s">
        <v>253</v>
      </c>
      <c r="F22" t="s">
        <v>254</v>
      </c>
      <c r="G22" t="s">
        <v>270</v>
      </c>
      <c r="H22" t="s">
        <v>259</v>
      </c>
    </row>
    <row r="23" spans="1:8" x14ac:dyDescent="0.2">
      <c r="A23" t="s">
        <v>74</v>
      </c>
      <c r="B23" t="s">
        <v>150</v>
      </c>
      <c r="C23" t="s">
        <v>151</v>
      </c>
      <c r="D23" t="s">
        <v>271</v>
      </c>
      <c r="E23" t="s">
        <v>255</v>
      </c>
      <c r="F23" t="s">
        <v>256</v>
      </c>
    </row>
    <row r="24" spans="1:8" x14ac:dyDescent="0.2">
      <c r="A24" t="s">
        <v>190</v>
      </c>
      <c r="B24" t="s">
        <v>94</v>
      </c>
      <c r="C24" t="s">
        <v>95</v>
      </c>
      <c r="D24" t="s">
        <v>243</v>
      </c>
      <c r="E24" t="s">
        <v>257</v>
      </c>
      <c r="F24" t="s">
        <v>258</v>
      </c>
    </row>
    <row r="25" spans="1:8" x14ac:dyDescent="0.2">
      <c r="A25" t="s">
        <v>190</v>
      </c>
      <c r="B25" t="s">
        <v>150</v>
      </c>
      <c r="C25" t="s">
        <v>151</v>
      </c>
      <c r="D25" t="s">
        <v>271</v>
      </c>
      <c r="E25" t="s">
        <v>257</v>
      </c>
      <c r="F25" t="s">
        <v>258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Sheet1</vt:lpstr>
      <vt:lpstr>Hard Constraints</vt:lpstr>
      <vt:lpstr>Degree Compatibility</vt:lpstr>
      <vt:lpstr>Overall 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Tho Tran</cp:lastModifiedBy>
  <dcterms:created xsi:type="dcterms:W3CDTF">2026-02-04T10:24:57Z</dcterms:created>
  <dcterms:modified xsi:type="dcterms:W3CDTF">2026-02-04T16:27:10Z</dcterms:modified>
</cp:coreProperties>
</file>